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15.xml"/>
  <Override ContentType="application/vnd.openxmlformats-officedocument.spreadsheetml.table+xml" PartName="/xl/tables/table8.xml"/>
  <Override ContentType="application/vnd.openxmlformats-officedocument.spreadsheetml.table+xml" PartName="/xl/tables/table24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9.xml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1.xml"/>
  <Override ContentType="application/vnd.openxmlformats-officedocument.spreadsheetml.table+xml" PartName="/xl/tables/table22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NDAPATAN" sheetId="1" r:id="rId4"/>
    <sheet state="visible" name="AYAM REGULER" sheetId="2" r:id="rId5"/>
    <sheet state="visible" name="AYAM SBP" sheetId="3" r:id="rId6"/>
    <sheet state="visible" name="NASI" sheetId="4" r:id="rId7"/>
    <sheet state="visible" name="CR" sheetId="5" r:id="rId8"/>
    <sheet state="visible" name="BKS" sheetId="6" r:id="rId9"/>
    <sheet state="visible" name="CS" sheetId="7" r:id="rId10"/>
    <sheet state="visible" name="CHICKEN BUN" sheetId="8" r:id="rId11"/>
    <sheet state="visible" name="KULIT" sheetId="9" r:id="rId12"/>
    <sheet state="visible" name="BURGER" sheetId="10" r:id="rId13"/>
    <sheet state="visible" name="KENTANG" sheetId="11" r:id="rId14"/>
    <sheet state="visible" name="GEPREK" sheetId="12" r:id="rId15"/>
    <sheet state="visible" name="BULDAK" sheetId="13" r:id="rId16"/>
    <sheet state="visible" name="MENTAI" sheetId="14" r:id="rId17"/>
    <sheet state="visible" name="SADAS" sheetId="15" r:id="rId18"/>
    <sheet state="visible" name="SAMBAL HITAM" sheetId="16" r:id="rId19"/>
    <sheet state="visible" name="SAMBAL IJO" sheetId="17" r:id="rId20"/>
    <sheet state="visible" name="KATSU" sheetId="18" r:id="rId21"/>
    <sheet state="visible" name="RICE BOWL 650ML" sheetId="19" r:id="rId22"/>
    <sheet state="visible" name="RICE BOWL 500ML" sheetId="20" r:id="rId23"/>
    <sheet state="visible" name="SIMULASI" sheetId="21" r:id="rId24"/>
  </sheets>
  <definedNames/>
  <calcPr/>
  <extLst>
    <ext uri="GoogleSheetsCustomDataVersion2">
      <go:sheetsCustomData xmlns:go="http://customooxmlschemas.google.com/" r:id="rId25" roundtripDataChecksum="CSvosWAZAdr02akkOzQpigM52s1cLzA9XQYxyqT/JYo="/>
    </ext>
  </extLst>
</workbook>
</file>

<file path=xl/sharedStrings.xml><?xml version="1.0" encoding="utf-8"?>
<sst xmlns="http://schemas.openxmlformats.org/spreadsheetml/2006/main" count="561" uniqueCount="203">
  <si>
    <t>AYAM SBP</t>
  </si>
  <si>
    <t>AYAM REGULER</t>
  </si>
  <si>
    <t>NO</t>
  </si>
  <si>
    <t>INGREDIENTS</t>
  </si>
  <si>
    <t>UOM</t>
  </si>
  <si>
    <t>BIAYA/UOM</t>
  </si>
  <si>
    <t>TOTAL COST/EKOR</t>
  </si>
  <si>
    <t>Ayam Marinasi</t>
  </si>
  <si>
    <t>Ekor/9 Potong</t>
  </si>
  <si>
    <t>PENDAPATAN 1 EKOR</t>
  </si>
  <si>
    <t>NASI</t>
  </si>
  <si>
    <t>ITEMS</t>
  </si>
  <si>
    <t>HARGA JUAL</t>
  </si>
  <si>
    <t>Tepung Bumbu</t>
  </si>
  <si>
    <t>Pack</t>
  </si>
  <si>
    <t>TOTAL COST/BUNGKUS</t>
  </si>
  <si>
    <t>QTY DALAM
1 EKOR</t>
  </si>
  <si>
    <t>PENDAPATAN
PER EKOR</t>
  </si>
  <si>
    <t>Beras Mentik Wangi</t>
  </si>
  <si>
    <t>1liter</t>
  </si>
  <si>
    <t>DADA</t>
  </si>
  <si>
    <t>Kantong Kemasan</t>
  </si>
  <si>
    <t>Ikat/ 100 Lembar</t>
  </si>
  <si>
    <t>Ikat/ 100</t>
  </si>
  <si>
    <t>Saus Sambal Delmonte</t>
  </si>
  <si>
    <t>Pack/ 125 Sachet</t>
  </si>
  <si>
    <t>PAHA ATAS</t>
  </si>
  <si>
    <t>Kertas Nasi</t>
  </si>
  <si>
    <t>Pack/100</t>
  </si>
  <si>
    <t>Minyak Goreng</t>
  </si>
  <si>
    <t>Pouch/ 2 Liter</t>
  </si>
  <si>
    <t>Kantong Plastik</t>
  </si>
  <si>
    <t>Box</t>
  </si>
  <si>
    <t>Pack/ 50 Lembar</t>
  </si>
  <si>
    <t>PAHA BAWAH</t>
  </si>
  <si>
    <t>Gas 3 kg</t>
  </si>
  <si>
    <t>3 Kg</t>
  </si>
  <si>
    <t>Total Cost/ Ekor</t>
  </si>
  <si>
    <t>Total Cost/ Bungkus</t>
  </si>
  <si>
    <t>SAYAP</t>
  </si>
  <si>
    <t>Pendapatan/ Ekor</t>
  </si>
  <si>
    <t>Margin/ Ekor</t>
  </si>
  <si>
    <t>Pendapatan/ Bungkus</t>
  </si>
  <si>
    <t>TOTAL</t>
  </si>
  <si>
    <t>Margin/ Bungkus</t>
  </si>
  <si>
    <t>HARGA SATUAN</t>
  </si>
  <si>
    <t>HARGA PER EKOR</t>
  </si>
  <si>
    <t>KETERANGAN</t>
  </si>
  <si>
    <t>Margin 2 Nasi</t>
  </si>
  <si>
    <t>AYAM/ EKOR</t>
  </si>
  <si>
    <t>TEPUNG/ PACK</t>
  </si>
  <si>
    <t>Harga Sosro 25ml</t>
  </si>
  <si>
    <t>Margin Bundling</t>
  </si>
  <si>
    <t>KEMASAN/ PCS</t>
  </si>
  <si>
    <t>SAMBEL/ SACHET</t>
  </si>
  <si>
    <t>MINYAK GORENG/ 2LTR</t>
  </si>
  <si>
    <t>GAS/ 3 KG</t>
  </si>
  <si>
    <t>KANTONG PLASTIK/ PACK</t>
  </si>
  <si>
    <t>TOTAL HPP/ EKOR</t>
  </si>
  <si>
    <t>Kantong Kemasan Ayam</t>
  </si>
  <si>
    <t>PENDAPATAN/ EKOR</t>
  </si>
  <si>
    <t>GROSS PROFIT/ EKOR</t>
  </si>
  <si>
    <t>CHICKEN ROLL</t>
  </si>
  <si>
    <t>BAKSO</t>
  </si>
  <si>
    <t>TOTAL COST/TUSUK</t>
  </si>
  <si>
    <t>Chicken Roll</t>
  </si>
  <si>
    <t>Pack/ 10 Pcs</t>
  </si>
  <si>
    <t>Bakso</t>
  </si>
  <si>
    <t>Pack/ 50 Pcs</t>
  </si>
  <si>
    <t>Kemasan</t>
  </si>
  <si>
    <t>Ikat/ 95 Lembar</t>
  </si>
  <si>
    <t>Total Cost/ Tusuk</t>
  </si>
  <si>
    <t>Pendapatan/ Tusuk</t>
  </si>
  <si>
    <t>Margin/ Tusuk</t>
  </si>
  <si>
    <t>CHIKEN STRIP</t>
  </si>
  <si>
    <t>Chiken Strip</t>
  </si>
  <si>
    <t>Pack/ 60 Pcs</t>
  </si>
  <si>
    <t>CHICKEN BUN</t>
  </si>
  <si>
    <t>TOTAL COST/KEMASAN</t>
  </si>
  <si>
    <t>KULIT CRISPY</t>
  </si>
  <si>
    <t>Roti Bun</t>
  </si>
  <si>
    <t>1 Pcs</t>
  </si>
  <si>
    <t>Kulit</t>
  </si>
  <si>
    <t>Pack/ 500 Gram</t>
  </si>
  <si>
    <t>BURGER</t>
  </si>
  <si>
    <t>10 kantong</t>
  </si>
  <si>
    <t>Ayam Goreng - Sayap</t>
  </si>
  <si>
    <t>1 Potong</t>
  </si>
  <si>
    <t>25 Gram</t>
  </si>
  <si>
    <t>Roti</t>
  </si>
  <si>
    <t>1 Sayap dibagi 3</t>
  </si>
  <si>
    <t>Pack/ 2 Pcs</t>
  </si>
  <si>
    <t>Mentega</t>
  </si>
  <si>
    <t>Pouch/ 200 Gram</t>
  </si>
  <si>
    <t>Kemasan Kulit</t>
  </si>
  <si>
    <t>Chicken Patty</t>
  </si>
  <si>
    <t>Sauce BBQ</t>
  </si>
  <si>
    <t>Sachet/ 20 Gram</t>
  </si>
  <si>
    <t>Mayonaise</t>
  </si>
  <si>
    <t>Pouch/ 900 Gram</t>
  </si>
  <si>
    <t>45 Gram</t>
  </si>
  <si>
    <t>Sayuran (Tomat, Salada, Timun)</t>
  </si>
  <si>
    <t>Tomat 1 Slices, Salada 1 Lembar, Timun 2 Slices</t>
  </si>
  <si>
    <t>Total Cost/ Kemasan</t>
  </si>
  <si>
    <t>Saus</t>
  </si>
  <si>
    <t>Pendapatan/ Kemasan</t>
  </si>
  <si>
    <t>1 Pack/ isi 125 pcs</t>
  </si>
  <si>
    <t>Margin/ Kemasan</t>
  </si>
  <si>
    <t>Box Burger</t>
  </si>
  <si>
    <t>Pack/ 100 Pcs</t>
  </si>
  <si>
    <t>Oregano</t>
  </si>
  <si>
    <t>20 Gram</t>
  </si>
  <si>
    <t>0.3 Gram</t>
  </si>
  <si>
    <t>Box Serbaguna</t>
  </si>
  <si>
    <t>Box Burger, Box CB</t>
  </si>
  <si>
    <t>Gas 3 Kg</t>
  </si>
  <si>
    <t>KENTANG</t>
  </si>
  <si>
    <t>Column1</t>
  </si>
  <si>
    <t>Kentang Simplot</t>
  </si>
  <si>
    <t>Pack/ 2.72 Kg</t>
  </si>
  <si>
    <t>120 Gram</t>
  </si>
  <si>
    <t>SAMBAL GEPREK</t>
  </si>
  <si>
    <t>Box Kentang</t>
  </si>
  <si>
    <t>Pack/ 200 Pcs</t>
  </si>
  <si>
    <t>TOTAL COST/CUP</t>
  </si>
  <si>
    <t>Sambal Geprek</t>
  </si>
  <si>
    <t>Pack/ 500 Gr</t>
  </si>
  <si>
    <t>25 CUP</t>
  </si>
  <si>
    <t>12.22 ml</t>
  </si>
  <si>
    <t>Sauce Cup</t>
  </si>
  <si>
    <t>Total Cost/ Cup</t>
  </si>
  <si>
    <t>SAOS BULDAK</t>
  </si>
  <si>
    <t>Pendapatan/ Cup</t>
  </si>
  <si>
    <t>Margin/ Cup</t>
  </si>
  <si>
    <t>Saos Buldak</t>
  </si>
  <si>
    <t>SAOS MENTAI</t>
  </si>
  <si>
    <t>Saus Keju Mentai</t>
  </si>
  <si>
    <t>SAOS SADAS</t>
  </si>
  <si>
    <t>Saus Sadas</t>
  </si>
  <si>
    <t>SAMBAL IJO</t>
  </si>
  <si>
    <t>SAMBAL HITAM</t>
  </si>
  <si>
    <t>Pack/ 28 Pcs</t>
  </si>
  <si>
    <t>Sambal Ijo</t>
  </si>
  <si>
    <t>Sambal Sambal Hitam</t>
  </si>
  <si>
    <t xml:space="preserve">     </t>
  </si>
  <si>
    <t xml:space="preserve"> </t>
  </si>
  <si>
    <t>CHICKEN KATSU 650 ML</t>
  </si>
  <si>
    <t>TOTAL COST</t>
  </si>
  <si>
    <t>Chicken Katsu</t>
  </si>
  <si>
    <t>1 Pcs / 90 Gr</t>
  </si>
  <si>
    <t>1 Pouch</t>
  </si>
  <si>
    <t>Gas</t>
  </si>
  <si>
    <t>3 kg</t>
  </si>
  <si>
    <t>Saus Sambal Sabana</t>
  </si>
  <si>
    <t>1 Pack/125 Pcs</t>
  </si>
  <si>
    <t>RICE BOWL SAMBAL GEPREK 650 ML</t>
  </si>
  <si>
    <t>Plastik Kecil</t>
  </si>
  <si>
    <t>Ayam Sayap/ Paha Bawah</t>
  </si>
  <si>
    <t>Kemasan Ayam</t>
  </si>
  <si>
    <t>1 Ikat/ 100pcs</t>
  </si>
  <si>
    <t>Nasi</t>
  </si>
  <si>
    <t>RICE BOWL SAMBAL GEPREK 500 ML</t>
  </si>
  <si>
    <t>160 Gr</t>
  </si>
  <si>
    <t>NAMA PRODUK</t>
  </si>
  <si>
    <t>QTY</t>
  </si>
  <si>
    <t>30 Ml</t>
  </si>
  <si>
    <t>HARI</t>
  </si>
  <si>
    <t>MODAL</t>
  </si>
  <si>
    <t>0.75 Gr</t>
  </si>
  <si>
    <t>PENDAPATAN</t>
  </si>
  <si>
    <t>Sendok Plastik</t>
  </si>
  <si>
    <t>PROFIT</t>
  </si>
  <si>
    <t>TOTAL PROFIT</t>
  </si>
  <si>
    <t>Plastik Kecil Sabana</t>
  </si>
  <si>
    <t>TOTAL MODAL</t>
  </si>
  <si>
    <t>TOTAL PENDAPATAN</t>
  </si>
  <si>
    <t>140 Gr</t>
  </si>
  <si>
    <t>AYAM FRIED CHICKEN</t>
  </si>
  <si>
    <t>Paper Bowl 650 Ml</t>
  </si>
  <si>
    <t>Timun</t>
  </si>
  <si>
    <t>2 Slice</t>
  </si>
  <si>
    <t>20 Ml</t>
  </si>
  <si>
    <t>RICE BOWL BBQ SAUCE 650 ML</t>
  </si>
  <si>
    <t>Paper Bowl 500 Ml</t>
  </si>
  <si>
    <t>BBQ Sauce</t>
  </si>
  <si>
    <t>2 Pcs</t>
  </si>
  <si>
    <t>Saus Sambal</t>
  </si>
  <si>
    <t>RICE BOWL BBQ SAUCE 500 ML</t>
  </si>
  <si>
    <t>0.03 Gr</t>
  </si>
  <si>
    <t>RICE BOWL KATSU 650 ML</t>
  </si>
  <si>
    <t>1 PCS</t>
  </si>
  <si>
    <t>180 gr</t>
  </si>
  <si>
    <t>Pouch/500gram</t>
  </si>
  <si>
    <t>Selada</t>
  </si>
  <si>
    <t>1 Lembar</t>
  </si>
  <si>
    <t>CHICKEN STRIP</t>
  </si>
  <si>
    <t>Sendok Gapru</t>
  </si>
  <si>
    <t>Paper Bowl 650ml</t>
  </si>
  <si>
    <t>KENTANG GORENG</t>
  </si>
  <si>
    <t>KATSU</t>
  </si>
  <si>
    <t>LISTRIK</t>
  </si>
  <si>
    <t>KARYAWAN</t>
  </si>
  <si>
    <t>KIOS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</si>
</sst>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Rp-421]#,##0"/>
    <numFmt numFmtId="165" formatCode="[$Rp-421]#,##0.00"/>
  </numFmts>
  <fonts count="7">
    <font>
      <sz val="11.0"/>
      <color theme="1"/>
      <name val="Calibri"/>
      <scheme val="minor"/>
    </font>
    <font>
      <b/>
      <sz val="16.0"/>
      <color theme="1"/>
      <name val="Calibri"/>
    </font>
    <font>
      <b/>
      <sz val="11.0"/>
      <color theme="1"/>
      <name val="Calibri"/>
    </font>
    <font>
      <b/>
      <sz val="11.0"/>
      <color theme="0"/>
      <name val="Calibri"/>
    </font>
    <font>
      <color theme="1"/>
      <name val="Calibri"/>
    </font>
    <font>
      <sz val="11.0"/>
      <color theme="1"/>
      <name val="Calibri"/>
    </font>
    <font>
      <sz val="11.0"/>
      <color theme="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theme="1"/>
        <bgColor theme="1"/>
      </patternFill>
    </fill>
  </fills>
  <borders count="2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2" numFmtId="0" xfId="0" applyAlignment="1" applyFill="1" applyFont="1">
      <alignment horizontal="center"/>
    </xf>
    <xf borderId="0" fillId="0" fontId="2" numFmtId="0" xfId="0" applyAlignment="1" applyFont="1">
      <alignment horizontal="center"/>
    </xf>
    <xf borderId="0" fillId="0" fontId="2" numFmtId="0" xfId="0" applyFont="1"/>
    <xf borderId="0" fillId="0" fontId="3" numFmtId="0" xfId="0" applyAlignment="1" applyFont="1">
      <alignment horizontal="center"/>
    </xf>
    <xf borderId="0" fillId="0" fontId="2" numFmtId="164" xfId="0" applyFont="1" applyNumberFormat="1"/>
    <xf borderId="0" fillId="0" fontId="3" numFmtId="0" xfId="0" applyFont="1"/>
    <xf borderId="0" fillId="0" fontId="3" numFmtId="164" xfId="0" applyFont="1" applyNumberFormat="1"/>
    <xf borderId="0" fillId="2" fontId="2" numFmtId="0" xfId="0" applyAlignment="1" applyFont="1">
      <alignment horizontal="center" vertical="center"/>
    </xf>
    <xf borderId="0" fillId="2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right"/>
    </xf>
    <xf borderId="0" fillId="0" fontId="4" numFmtId="0" xfId="0" applyFont="1"/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center" shrinkToFit="0" vertical="center" wrapText="1"/>
    </xf>
    <xf borderId="0" fillId="0" fontId="2" numFmtId="165" xfId="0" applyFont="1" applyNumberFormat="1"/>
    <xf borderId="0" fillId="0" fontId="5" numFmtId="165" xfId="0" applyFont="1" applyNumberFormat="1"/>
    <xf borderId="0" fillId="0" fontId="2" numFmtId="2" xfId="0" applyFont="1" applyNumberFormat="1"/>
    <xf borderId="0" fillId="2" fontId="2" numFmtId="0" xfId="0" applyAlignment="1" applyFont="1">
      <alignment horizontal="center" shrinkToFit="0" wrapText="1"/>
    </xf>
    <xf borderId="1" fillId="0" fontId="2" numFmtId="0" xfId="0" applyAlignment="1" applyBorder="1" applyFont="1">
      <alignment horizontal="center"/>
    </xf>
    <xf borderId="1" fillId="3" fontId="6" numFmtId="0" xfId="0" applyBorder="1" applyFill="1" applyFont="1"/>
    <xf borderId="1" fillId="0" fontId="5" numFmtId="0" xfId="0" applyAlignment="1" applyBorder="1" applyFont="1">
      <alignment horizontal="center"/>
    </xf>
    <xf borderId="1" fillId="0" fontId="5" numFmtId="164" xfId="0" applyBorder="1" applyFont="1" applyNumberFormat="1"/>
    <xf borderId="0" fillId="0" fontId="2" numFmtId="0" xfId="0" applyAlignment="1" applyFont="1">
      <alignment horizontal="center" shrinkToFit="0" wrapText="1"/>
    </xf>
    <xf borderId="1" fillId="0" fontId="5" numFmtId="0" xfId="0" applyBorder="1" applyFont="1"/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rgb="FF2E75B5"/>
          <bgColor rgb="FF2E75B5"/>
        </patternFill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7B7B7B"/>
          <bgColor rgb="FF7B7B7B"/>
        </patternFill>
      </fill>
      <border/>
    </dxf>
    <dxf>
      <font/>
      <fill>
        <patternFill patternType="solid">
          <fgColor theme="6"/>
          <bgColor theme="6"/>
        </patternFill>
      </fill>
      <border/>
    </dxf>
  </dxfs>
  <tableStyles count="25">
    <tableStyle count="3" pivot="0" name="PENDAPATAN-style">
      <tableStyleElement dxfId="1" type="headerRow"/>
      <tableStyleElement dxfId="2" type="firstRowStripe"/>
      <tableStyleElement dxfId="3" type="secondRowStripe"/>
    </tableStyle>
    <tableStyle count="3" pivot="0" name="AYAM REGULER-style">
      <tableStyleElement dxfId="1" type="headerRow"/>
      <tableStyleElement dxfId="2" type="firstRowStripe"/>
      <tableStyleElement dxfId="3" type="secondRowStripe"/>
    </tableStyle>
    <tableStyle count="3" pivot="0" name="AYAM SBP-style">
      <tableStyleElement dxfId="1" type="headerRow"/>
      <tableStyleElement dxfId="2" type="firstRowStripe"/>
      <tableStyleElement dxfId="3" type="secondRowStripe"/>
    </tableStyle>
    <tableStyle count="3" pivot="0" name="NASI-style">
      <tableStyleElement dxfId="1" type="headerRow"/>
      <tableStyleElement dxfId="2" type="firstRowStripe"/>
      <tableStyleElement dxfId="3" type="secondRowStripe"/>
    </tableStyle>
    <tableStyle count="3" pivot="0" name="NASI-style 2">
      <tableStyleElement dxfId="1" type="headerRow"/>
      <tableStyleElement dxfId="2" type="firstRowStripe"/>
      <tableStyleElement dxfId="3" type="secondRowStripe"/>
    </tableStyle>
    <tableStyle count="3" pivot="0" name="PENDAPATAN-style 2">
      <tableStyleElement dxfId="1" type="headerRow"/>
      <tableStyleElement dxfId="4" type="firstRowStripe"/>
      <tableStyleElement dxfId="5" type="secondRowStripe"/>
    </tableStyle>
    <tableStyle count="3" pivot="0" name="CR-style">
      <tableStyleElement dxfId="1" type="headerRow"/>
      <tableStyleElement dxfId="2" type="firstRowStripe"/>
      <tableStyleElement dxfId="3" type="secondRowStripe"/>
    </tableStyle>
    <tableStyle count="3" pivot="0" name="BKS-style">
      <tableStyleElement dxfId="1" type="headerRow"/>
      <tableStyleElement dxfId="2" type="firstRowStripe"/>
      <tableStyleElement dxfId="3" type="secondRowStripe"/>
    </tableStyle>
    <tableStyle count="3" pivot="0" name="CS-style">
      <tableStyleElement dxfId="1" type="headerRow"/>
      <tableStyleElement dxfId="2" type="firstRowStripe"/>
      <tableStyleElement dxfId="3" type="secondRowStripe"/>
    </tableStyle>
    <tableStyle count="3" pivot="0" name="CHICKEN BUN-style">
      <tableStyleElement dxfId="1" type="headerRow"/>
      <tableStyleElement dxfId="2" type="firstRowStripe"/>
      <tableStyleElement dxfId="3" type="secondRowStripe"/>
    </tableStyle>
    <tableStyle count="3" pivot="0" name="KULIT-style">
      <tableStyleElement dxfId="1" type="headerRow"/>
      <tableStyleElement dxfId="2" type="firstRowStripe"/>
      <tableStyleElement dxfId="3" type="secondRowStripe"/>
    </tableStyle>
    <tableStyle count="3" pivot="0" name="BURGER-style">
      <tableStyleElement dxfId="1" type="headerRow"/>
      <tableStyleElement dxfId="2" type="firstRowStripe"/>
      <tableStyleElement dxfId="3" type="secondRowStripe"/>
    </tableStyle>
    <tableStyle count="3" pivot="0" name="KENTANG-style">
      <tableStyleElement dxfId="1" type="headerRow"/>
      <tableStyleElement dxfId="2" type="firstRowStripe"/>
      <tableStyleElement dxfId="3" type="secondRowStripe"/>
    </tableStyle>
    <tableStyle count="3" pivot="0" name="GEPREK-style">
      <tableStyleElement dxfId="1" type="headerRow"/>
      <tableStyleElement dxfId="2" type="firstRowStripe"/>
      <tableStyleElement dxfId="3" type="secondRowStripe"/>
    </tableStyle>
    <tableStyle count="3" pivot="0" name="BULDAK-style">
      <tableStyleElement dxfId="1" type="headerRow"/>
      <tableStyleElement dxfId="2" type="firstRowStripe"/>
      <tableStyleElement dxfId="3" type="secondRowStripe"/>
    </tableStyle>
    <tableStyle count="3" pivot="0" name="MENTAI-style">
      <tableStyleElement dxfId="1" type="headerRow"/>
      <tableStyleElement dxfId="2" type="firstRowStripe"/>
      <tableStyleElement dxfId="3" type="secondRowStripe"/>
    </tableStyle>
    <tableStyle count="3" pivot="0" name="SADAS-style">
      <tableStyleElement dxfId="1" type="headerRow"/>
      <tableStyleElement dxfId="2" type="firstRowStripe"/>
      <tableStyleElement dxfId="3" type="secondRowStripe"/>
    </tableStyle>
    <tableStyle count="3" pivot="0" name="SAMBAL IJO-style">
      <tableStyleElement dxfId="1" type="headerRow"/>
      <tableStyleElement dxfId="2" type="firstRowStripe"/>
      <tableStyleElement dxfId="3" type="secondRowStripe"/>
    </tableStyle>
    <tableStyle count="3" pivot="0" name="SAMBAL HITAM-style">
      <tableStyleElement dxfId="1" type="headerRow"/>
      <tableStyleElement dxfId="2" type="firstRowStripe"/>
      <tableStyleElement dxfId="3" type="secondRowStripe"/>
    </tableStyle>
    <tableStyle count="3" pivot="0" name="KATSU-style">
      <tableStyleElement dxfId="1" type="headerRow"/>
      <tableStyleElement dxfId="2" type="firstRowStripe"/>
      <tableStyleElement dxfId="3" type="secondRowStripe"/>
    </tableStyle>
    <tableStyle count="3" pivot="0" name="RICE BOWL 650ML-style">
      <tableStyleElement dxfId="1" type="headerRow"/>
      <tableStyleElement dxfId="2" type="firstRowStripe"/>
      <tableStyleElement dxfId="3" type="secondRowStripe"/>
    </tableStyle>
    <tableStyle count="3" pivot="0" name="RICE BOWL 650ML-style 2">
      <tableStyleElement dxfId="1" type="headerRow"/>
      <tableStyleElement dxfId="2" type="firstRowStripe"/>
      <tableStyleElement dxfId="3" type="secondRowStripe"/>
    </tableStyle>
    <tableStyle count="3" pivot="0" name="RICE BOWL 650ML-style 3">
      <tableStyleElement dxfId="1" type="headerRow"/>
      <tableStyleElement dxfId="2" type="firstRowStripe"/>
      <tableStyleElement dxfId="3" type="secondRowStripe"/>
    </tableStyle>
    <tableStyle count="3" pivot="0" name="RICE BOWL 500ML-style">
      <tableStyleElement dxfId="1" type="headerRow"/>
      <tableStyleElement dxfId="2" type="firstRowStripe"/>
      <tableStyleElement dxfId="3" type="secondRowStripe"/>
    </tableStyle>
    <tableStyle count="3" pivot="0" name="RICE BOWL 500ML-style 2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5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B4:F9" displayName="Table_1" name="Table_1" id="3">
  <tableColumns count="5">
    <tableColumn name="NO" id="1"/>
    <tableColumn name="ITEMS" id="2"/>
    <tableColumn name="HARGA JUAL" id="3"/>
    <tableColumn name="QTY DALAM_x000a_1 EKOR" id="4"/>
    <tableColumn name="PENDAPATAN_x000a_PER EKOR" id="5"/>
  </tableColumns>
  <tableStyleInfo name="PENDAPATAN-style" showColumnStripes="0" showFirstColumn="1" showLastColumn="1" showRowStripes="1"/>
</table>
</file>

<file path=xl/tables/table2.xml><?xml version="1.0" encoding="utf-8"?>
<table xmlns="http://schemas.openxmlformats.org/spreadsheetml/2006/main" ref="B12:F22" displayName="Table_5" name="Table_5" id="6">
  <tableColumns count="5">
    <tableColumn name="NO" id="1"/>
    <tableColumn name="ITEMS" id="2"/>
    <tableColumn name="HARGA SATUAN" id="3"/>
    <tableColumn name="HARGA PER EKOR" id="4"/>
    <tableColumn name="KETERANGAN" id="5"/>
  </tableColumns>
  <tableStyleInfo name="PENDAPATAN-style 2" showColumnStripes="0" showFirstColumn="1" showLastColumn="1" showRowStripes="1"/>
</table>
</file>

<file path=xl/tables/table3.xml><?xml version="1.0" encoding="utf-8"?>
<table xmlns="http://schemas.openxmlformats.org/spreadsheetml/2006/main" ref="C4:G14" displayName="Table_4" name="Table_4" id="1">
  <tableColumns count="5">
    <tableColumn name="NO" id="1"/>
    <tableColumn name="INGREDIENTS" id="2"/>
    <tableColumn name="UOM" id="3"/>
    <tableColumn name="BIAYA/UOM" id="4"/>
    <tableColumn name="TOTAL COST/EKOR" id="5"/>
  </tableColumns>
  <tableStyleInfo name="AYAM REGULER-style" showColumnStripes="0" showFirstColumn="1" showLastColumn="1" showRowStripes="1"/>
</table>
</file>

<file path=xl/tables/table4.xml><?xml version="1.0" encoding="utf-8"?>
<table xmlns="http://schemas.openxmlformats.org/spreadsheetml/2006/main" ref="B4:F14" displayName="Table_2" name="Table_2" id="2">
  <tableColumns count="5">
    <tableColumn name="NO" id="1"/>
    <tableColumn name="INGREDIENTS" id="2"/>
    <tableColumn name="UOM" id="3"/>
    <tableColumn name="BIAYA/UOM" id="4"/>
    <tableColumn name="TOTAL COST/EKOR" id="5"/>
  </tableColumns>
  <tableStyleInfo name="AYAM SBP-style" showColumnStripes="0" showFirstColumn="1" showLastColumn="1" showRowStripes="1"/>
</table>
</file>

<file path=xl/tables/table5.xml><?xml version="1.0" encoding="utf-8"?>
<table xmlns="http://schemas.openxmlformats.org/spreadsheetml/2006/main" ref="C4:G13" displayName="Table_3" name="Table_3" id="4">
  <tableColumns count="5">
    <tableColumn name="NO" id="1"/>
    <tableColumn name="INGREDIENTS" id="2"/>
    <tableColumn name="UOM" id="3"/>
    <tableColumn name="BIAYA/UOM" id="4"/>
    <tableColumn name="TOTAL COST/BUNGKUS" id="5"/>
  </tableColumns>
  <tableStyleInfo name="NASI-style" showColumnStripes="0" showFirstColumn="1" showLastColumn="1" showRowStripes="1"/>
</table>
</file>

<file path=xl/tables/table6.xml><?xml version="1.0" encoding="utf-8"?>
<table xmlns="http://schemas.openxmlformats.org/spreadsheetml/2006/main" ref="C15:G21" displayName="Table_6" name="Table_6" id="5">
  <tableColumns count="5">
    <tableColumn name="NO" id="1"/>
    <tableColumn name="INGREDIENTS" id="2"/>
    <tableColumn name="UOM" id="3"/>
    <tableColumn name="BIAYA/UOM" id="4"/>
    <tableColumn name="TOTAL COST/BUNGKUS" id="5"/>
  </tableColumns>
  <tableStyleInfo name="NASI-style 2" showColumnStripes="0" showFirstColumn="1" showLastColumn="1" showRowStripes="1"/>
</table>
</file>

<file path=xl/tables/table7.xml><?xml version="1.0" encoding="utf-8"?>
<table xmlns="http://schemas.openxmlformats.org/spreadsheetml/2006/main" ref="B4:F14" displayName="Table_7" name="Table_7" id="7">
  <tableColumns count="5">
    <tableColumn name="NO" id="1"/>
    <tableColumn name="INGREDIENTS" id="2"/>
    <tableColumn name="UOM" id="3"/>
    <tableColumn name="BIAYA/UOM" id="4"/>
    <tableColumn name="TOTAL COST/TUSUK" id="5"/>
  </tableColumns>
  <tableStyleInfo name="CR-style" showColumnStripes="0" showFirstColumn="1" showLastColumn="1" showRowStripes="1"/>
</table>
</file>

<file path=xl/tables/table8.xml><?xml version="1.0" encoding="utf-8"?>
<table xmlns="http://schemas.openxmlformats.org/spreadsheetml/2006/main" ref="B4:F14" displayName="Table_8" name="Table_8" id="8">
  <tableColumns count="5">
    <tableColumn name="NO" id="1"/>
    <tableColumn name="INGREDIENTS" id="2"/>
    <tableColumn name="UOM" id="3"/>
    <tableColumn name="BIAYA/UOM" id="4"/>
    <tableColumn name="TOTAL COST/TUSUK" id="5"/>
  </tableColumns>
  <tableStyleInfo name="BKS-style" showColumnStripes="0" showFirstColumn="1" showLastColumn="1" showRowStripes="1"/>
</table>
</file>

<file path=xl/tables/table9.xml><?xml version="1.0" encoding="utf-8"?>
<table xmlns="http://schemas.openxmlformats.org/spreadsheetml/2006/main" ref="B4:F14" displayName="Table_9" name="Table_9" id="9">
  <tableColumns count="5">
    <tableColumn name="NO" id="1"/>
    <tableColumn name="INGREDIENTS" id="2"/>
    <tableColumn name="UOM" id="3"/>
    <tableColumn name="BIAYA/UOM" id="4"/>
    <tableColumn name="TOTAL COST/TUSUK" id="5"/>
  </tableColumns>
  <tableStyleInfo name="CS-style" showColumnStripes="0" showFirstColumn="1" showLastColumn="1" showRowStripes="1"/>
</table>
</file>

<file path=xl/tables/table10.xml><?xml version="1.0" encoding="utf-8"?>
<table xmlns="http://schemas.openxmlformats.org/spreadsheetml/2006/main" ref="B4:G17" displayName="Table_10" name="Table_10" id="10">
  <tableColumns count="6">
    <tableColumn name="NO" id="1"/>
    <tableColumn name="INGREDIENTS" id="2"/>
    <tableColumn name="UOM" id="3"/>
    <tableColumn name="BIAYA/UOM" id="4"/>
    <tableColumn name="TOTAL COST/KEMASAN" id="5"/>
    <tableColumn name="KETERANGAN" id="6"/>
  </tableColumns>
  <tableStyleInfo name="CHICKEN BUN-style" showColumnStripes="0" showFirstColumn="1" showLastColumn="1" showRowStripes="1"/>
</table>
</file>

<file path=xl/tables/table11.xml><?xml version="1.0" encoding="utf-8"?>
<table xmlns="http://schemas.openxmlformats.org/spreadsheetml/2006/main" ref="B4:G14" displayName="Table_11" name="Table_11" id="11">
  <tableColumns count="6">
    <tableColumn name="NO" id="1"/>
    <tableColumn name="INGREDIENTS" id="2"/>
    <tableColumn name="UOM" id="3"/>
    <tableColumn name="BIAYA/UOM" id="4"/>
    <tableColumn name="TOTAL COST/KEMASAN" id="5"/>
    <tableColumn name="KETERANGAN" id="6"/>
  </tableColumns>
  <tableStyleInfo name="KULIT-style" showColumnStripes="0" showFirstColumn="1" showLastColumn="1" showRowStripes="1"/>
</table>
</file>

<file path=xl/tables/table12.xml><?xml version="1.0" encoding="utf-8"?>
<table xmlns="http://schemas.openxmlformats.org/spreadsheetml/2006/main" ref="B4:G16" displayName="Table_12" name="Table_12" id="12">
  <tableColumns count="6">
    <tableColumn name="NO" id="1"/>
    <tableColumn name="INGREDIENTS" id="2"/>
    <tableColumn name="UOM" id="3"/>
    <tableColumn name="BIAYA/UOM" id="4"/>
    <tableColumn name="TOTAL COST/KEMASAN" id="5"/>
    <tableColumn name="KETERANGAN" id="6"/>
  </tableColumns>
  <tableStyleInfo name="BURGER-style" showColumnStripes="0" showFirstColumn="1" showLastColumn="1" showRowStripes="1"/>
</table>
</file>

<file path=xl/tables/table13.xml><?xml version="1.0" encoding="utf-8"?>
<table xmlns="http://schemas.openxmlformats.org/spreadsheetml/2006/main" ref="B4:H13" displayName="Table_13" name="Table_13" id="13">
  <tableColumns count="7">
    <tableColumn name="NO" id="1"/>
    <tableColumn name="INGREDIENTS" id="2"/>
    <tableColumn name="UOM" id="3"/>
    <tableColumn name="BIAYA/UOM" id="4"/>
    <tableColumn name="TOTAL COST/KEMASAN" id="5"/>
    <tableColumn name="KETERANGAN" id="6"/>
    <tableColumn name="Column1" id="7"/>
  </tableColumns>
  <tableStyleInfo name="KENTANG-style" showColumnStripes="0" showFirstColumn="1" showLastColumn="1" showRowStripes="1"/>
</table>
</file>

<file path=xl/tables/table14.xml><?xml version="1.0" encoding="utf-8"?>
<table xmlns="http://schemas.openxmlformats.org/spreadsheetml/2006/main" ref="B4:G10" displayName="Table_14" name="Table_14" id="14">
  <tableColumns count="6">
    <tableColumn name="NO" id="1"/>
    <tableColumn name="INGREDIENTS" id="2"/>
    <tableColumn name="UOM" id="3"/>
    <tableColumn name="BIAYA/UOM" id="4"/>
    <tableColumn name="TOTAL COST/CUP" id="5"/>
    <tableColumn name="KETERANGAN" id="6"/>
  </tableColumns>
  <tableStyleInfo name="GEPREK-style" showColumnStripes="0" showFirstColumn="1" showLastColumn="1" showRowStripes="1"/>
</table>
</file>

<file path=xl/tables/table15.xml><?xml version="1.0" encoding="utf-8"?>
<table xmlns="http://schemas.openxmlformats.org/spreadsheetml/2006/main" ref="B4:G9" displayName="Table_15" name="Table_15" id="15">
  <tableColumns count="6">
    <tableColumn name="NO" id="1"/>
    <tableColumn name="INGREDIENTS" id="2"/>
    <tableColumn name="UOM" id="3"/>
    <tableColumn name="BIAYA/UOM" id="4"/>
    <tableColumn name="TOTAL COST/CUP" id="5"/>
    <tableColumn name="KETERANGAN" id="6"/>
  </tableColumns>
  <tableStyleInfo name="BULDAK-style" showColumnStripes="0" showFirstColumn="1" showLastColumn="1" showRowStripes="1"/>
</table>
</file>

<file path=xl/tables/table16.xml><?xml version="1.0" encoding="utf-8"?>
<table xmlns="http://schemas.openxmlformats.org/spreadsheetml/2006/main" ref="B4:G9" displayName="Table_16" name="Table_16" id="16">
  <tableColumns count="6">
    <tableColumn name="NO" id="1"/>
    <tableColumn name="INGREDIENTS" id="2"/>
    <tableColumn name="UOM" id="3"/>
    <tableColumn name="BIAYA/UOM" id="4"/>
    <tableColumn name="TOTAL COST/CUP" id="5"/>
    <tableColumn name="Column1" id="6"/>
  </tableColumns>
  <tableStyleInfo name="MENTAI-style" showColumnStripes="0" showFirstColumn="1" showLastColumn="1" showRowStripes="1"/>
</table>
</file>

<file path=xl/tables/table17.xml><?xml version="1.0" encoding="utf-8"?>
<table xmlns="http://schemas.openxmlformats.org/spreadsheetml/2006/main" ref="B4:G9" displayName="Table_17" name="Table_17" id="17">
  <tableColumns count="6">
    <tableColumn name="NO" id="1"/>
    <tableColumn name="INGREDIENTS" id="2"/>
    <tableColumn name="UOM" id="3"/>
    <tableColumn name="BIAYA/UOM" id="4"/>
    <tableColumn name="TOTAL COST/CUP" id="5"/>
    <tableColumn name="Column1" id="6"/>
  </tableColumns>
  <tableStyleInfo name="SADAS-style" showColumnStripes="0" showFirstColumn="1" showLastColumn="1" showRowStripes="1"/>
</table>
</file>

<file path=xl/tables/table18.xml><?xml version="1.0" encoding="utf-8"?>
<table xmlns="http://schemas.openxmlformats.org/spreadsheetml/2006/main" ref="B4:G10" displayName="Table_19" name="Table_19" id="19">
  <tableColumns count="6">
    <tableColumn name="NO" id="1"/>
    <tableColumn name="INGREDIENTS" id="2"/>
    <tableColumn name="UOM" id="3"/>
    <tableColumn name="BIAYA/UOM" id="4"/>
    <tableColumn name="TOTAL COST/CUP" id="5"/>
    <tableColumn name="KETERANGAN" id="6"/>
  </tableColumns>
  <tableStyleInfo name="SAMBAL HITAM-style" showColumnStripes="0" showFirstColumn="1" showLastColumn="1" showRowStripes="1"/>
</table>
</file>

<file path=xl/tables/table19.xml><?xml version="1.0" encoding="utf-8"?>
<table xmlns="http://schemas.openxmlformats.org/spreadsheetml/2006/main" ref="B4:G10" displayName="Table_18" name="Table_18" id="18">
  <tableColumns count="6">
    <tableColumn name="NO" id="1"/>
    <tableColumn name="INGREDIENTS" id="2"/>
    <tableColumn name="UOM" id="3"/>
    <tableColumn name="BIAYA/UOM" id="4"/>
    <tableColumn name="TOTAL COST/CUP" id="5"/>
    <tableColumn name="KETERANGAN" id="6"/>
  </tableColumns>
  <tableStyleInfo name="SAMBAL IJO-style" showColumnStripes="0" showFirstColumn="1" showLastColumn="1" showRowStripes="1"/>
</table>
</file>

<file path=xl/tables/table20.xml><?xml version="1.0" encoding="utf-8"?>
<table xmlns="http://schemas.openxmlformats.org/spreadsheetml/2006/main" ref="B4:F13" displayName="Table_20" name="Table_20" id="20">
  <tableColumns count="5">
    <tableColumn name="NO" id="1"/>
    <tableColumn name="INGREDIENTS" id="2"/>
    <tableColumn name="UOM" id="3"/>
    <tableColumn name="BIAYA/UOM" id="4"/>
    <tableColumn name="TOTAL COST" id="5"/>
  </tableColumns>
  <tableStyleInfo name="KATSU-style" showColumnStripes="0" showFirstColumn="1" showLastColumn="1" showRowStripes="1"/>
</table>
</file>

<file path=xl/tables/table21.xml><?xml version="1.0" encoding="utf-8"?>
<table xmlns="http://schemas.openxmlformats.org/spreadsheetml/2006/main" ref="B5:F15" displayName="Table_21" name="Table_21" id="21">
  <tableColumns count="5">
    <tableColumn name="NO" id="1"/>
    <tableColumn name="INGREDIENTS" id="2"/>
    <tableColumn name="UOM" id="3"/>
    <tableColumn name="BIAYA/UOM" id="4"/>
    <tableColumn name="TOTAL COST" id="5"/>
  </tableColumns>
  <tableStyleInfo name="RICE BOWL 650ML-style" showColumnStripes="0" showFirstColumn="1" showLastColumn="1" showRowStripes="1"/>
</table>
</file>

<file path=xl/tables/table22.xml><?xml version="1.0" encoding="utf-8"?>
<table xmlns="http://schemas.openxmlformats.org/spreadsheetml/2006/main" ref="B19:F31" displayName="Table_22" name="Table_22" id="22">
  <tableColumns count="5">
    <tableColumn name="NO" id="1"/>
    <tableColumn name="INGREDIENTS" id="2"/>
    <tableColumn name="UOM" id="3"/>
    <tableColumn name="BIAYA/UOM" id="4"/>
    <tableColumn name="TOTAL COST" id="5"/>
  </tableColumns>
  <tableStyleInfo name="RICE BOWL 650ML-style 2" showColumnStripes="0" showFirstColumn="1" showLastColumn="1" showRowStripes="1"/>
</table>
</file>

<file path=xl/tables/table23.xml><?xml version="1.0" encoding="utf-8"?>
<table xmlns="http://schemas.openxmlformats.org/spreadsheetml/2006/main" ref="B35:F49" displayName="Table_23" name="Table_23" id="23">
  <tableColumns count="5">
    <tableColumn name="NO" id="1"/>
    <tableColumn name="INGREDIENTS" id="2"/>
    <tableColumn name="UOM" id="3"/>
    <tableColumn name="BIAYA/UOM" id="4"/>
    <tableColumn name="TOTAL COST" id="5"/>
  </tableColumns>
  <tableStyleInfo name="RICE BOWL 650ML-style 3" showColumnStripes="0" showFirstColumn="1" showLastColumn="1" showRowStripes="1"/>
</table>
</file>

<file path=xl/tables/table24.xml><?xml version="1.0" encoding="utf-8"?>
<table xmlns="http://schemas.openxmlformats.org/spreadsheetml/2006/main" ref="B5:F15" displayName="Table_24" name="Table_24" id="24">
  <tableColumns count="5">
    <tableColumn name="NO" id="1"/>
    <tableColumn name="INGREDIENTS" id="2"/>
    <tableColumn name="UOM" id="3"/>
    <tableColumn name="BIAYA/UOM" id="4"/>
    <tableColumn name="TOTAL COST" id="5"/>
  </tableColumns>
  <tableStyleInfo name="RICE BOWL 500ML-style" showColumnStripes="0" showFirstColumn="1" showLastColumn="1" showRowStripes="1"/>
</table>
</file>

<file path=xl/tables/table25.xml><?xml version="1.0" encoding="utf-8"?>
<table xmlns="http://schemas.openxmlformats.org/spreadsheetml/2006/main" ref="B19:F31" displayName="Table_25" name="Table_25" id="25">
  <tableColumns count="5">
    <tableColumn name="NO" id="1"/>
    <tableColumn name="INGREDIENTS" id="2"/>
    <tableColumn name="UOM" id="3"/>
    <tableColumn name="BIAYA/UOM" id="4"/>
    <tableColumn name="TOTAL COST" id="5"/>
  </tableColumns>
  <tableStyleInfo name="RICE BOWL 500ML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4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4" Type="http://schemas.openxmlformats.org/officeDocument/2006/relationships/table" Target="../tables/table5.xml"/><Relationship Id="rId5" Type="http://schemas.openxmlformats.org/officeDocument/2006/relationships/table" Target="../tables/table6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7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8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9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10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11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2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3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4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15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3" Type="http://schemas.openxmlformats.org/officeDocument/2006/relationships/table" Target="../tables/table16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3" Type="http://schemas.openxmlformats.org/officeDocument/2006/relationships/table" Target="../tables/table17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Relationship Id="rId3" Type="http://schemas.openxmlformats.org/officeDocument/2006/relationships/table" Target="../tables/table18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Relationship Id="rId3" Type="http://schemas.openxmlformats.org/officeDocument/2006/relationships/table" Target="../tables/table19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Relationship Id="rId3" Type="http://schemas.openxmlformats.org/officeDocument/2006/relationships/table" Target="../tables/table20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Relationship Id="rId5" Type="http://schemas.openxmlformats.org/officeDocument/2006/relationships/table" Target="../tables/table21.xml"/><Relationship Id="rId6" Type="http://schemas.openxmlformats.org/officeDocument/2006/relationships/table" Target="../tables/table22.xml"/><Relationship Id="rId7" Type="http://schemas.openxmlformats.org/officeDocument/2006/relationships/table" Target="../tables/table23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Relationship Id="rId4" Type="http://schemas.openxmlformats.org/officeDocument/2006/relationships/table" Target="../tables/table24.xml"/><Relationship Id="rId5" Type="http://schemas.openxmlformats.org/officeDocument/2006/relationships/table" Target="../tables/table25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22.86"/>
    <col customWidth="1" min="4" max="4" width="20.43"/>
    <col customWidth="1" min="5" max="5" width="18.43"/>
    <col customWidth="1" min="6" max="6" width="15.14"/>
    <col customWidth="1" min="7" max="26" width="8.71"/>
  </cols>
  <sheetData>
    <row r="1" ht="14.25" customHeight="1"/>
    <row r="2" ht="14.25" customHeight="1">
      <c r="B2" s="1" t="s">
        <v>9</v>
      </c>
    </row>
    <row r="3" ht="14.25" customHeight="1"/>
    <row r="4" ht="14.25" customHeight="1">
      <c r="B4" s="9" t="s">
        <v>2</v>
      </c>
      <c r="C4" s="9" t="s">
        <v>11</v>
      </c>
      <c r="D4" s="9" t="s">
        <v>12</v>
      </c>
      <c r="E4" s="10" t="s">
        <v>16</v>
      </c>
      <c r="F4" s="10" t="s">
        <v>17</v>
      </c>
    </row>
    <row r="5" ht="14.25" customHeight="1">
      <c r="B5" s="3">
        <v>1.0</v>
      </c>
      <c r="C5" s="4" t="s">
        <v>20</v>
      </c>
      <c r="D5" s="6">
        <v>11000.0</v>
      </c>
      <c r="E5" s="3">
        <v>3.0</v>
      </c>
      <c r="F5" s="6">
        <f>PENDAPATAN!$D5*PENDAPATAN!$E5</f>
        <v>33000</v>
      </c>
    </row>
    <row r="6" ht="14.25" customHeight="1">
      <c r="B6" s="3">
        <v>2.0</v>
      </c>
      <c r="C6" s="4" t="s">
        <v>26</v>
      </c>
      <c r="D6" s="6">
        <f>SUBTOTAL(109,D5)</f>
        <v>11000</v>
      </c>
      <c r="E6" s="3">
        <v>2.0</v>
      </c>
      <c r="F6" s="6">
        <f>PENDAPATAN!$D6*PENDAPATAN!$E6</f>
        <v>22000</v>
      </c>
    </row>
    <row r="7" ht="14.25" customHeight="1">
      <c r="B7" s="3">
        <v>3.0</v>
      </c>
      <c r="C7" s="4" t="s">
        <v>34</v>
      </c>
      <c r="D7" s="6">
        <v>9000.0</v>
      </c>
      <c r="E7" s="3">
        <v>2.0</v>
      </c>
      <c r="F7" s="6">
        <f>PENDAPATAN!$D7*PENDAPATAN!$E7</f>
        <v>18000</v>
      </c>
    </row>
    <row r="8" ht="14.25" customHeight="1">
      <c r="B8" s="3">
        <v>4.0</v>
      </c>
      <c r="C8" s="4" t="s">
        <v>39</v>
      </c>
      <c r="D8" s="6">
        <v>8000.0</v>
      </c>
      <c r="E8" s="3">
        <v>2.0</v>
      </c>
      <c r="F8" s="6">
        <f>PENDAPATAN!$D8*PENDAPATAN!$E8</f>
        <v>16000</v>
      </c>
    </row>
    <row r="9" ht="14.25" customHeight="1">
      <c r="B9" s="4"/>
      <c r="C9" s="4"/>
      <c r="D9" s="11" t="s">
        <v>43</v>
      </c>
      <c r="E9" s="3">
        <v>9.0</v>
      </c>
      <c r="F9" s="6">
        <f>SUM(F5:F8)</f>
        <v>89000</v>
      </c>
      <c r="I9" s="12"/>
    </row>
    <row r="10" ht="14.25" customHeight="1"/>
    <row r="11" ht="14.25" customHeight="1"/>
    <row r="12" ht="14.25" hidden="1" customHeight="1">
      <c r="B12" s="13" t="s">
        <v>2</v>
      </c>
      <c r="C12" s="13" t="s">
        <v>11</v>
      </c>
      <c r="D12" s="13" t="s">
        <v>45</v>
      </c>
      <c r="E12" s="14" t="s">
        <v>46</v>
      </c>
      <c r="F12" s="14" t="s">
        <v>47</v>
      </c>
    </row>
    <row r="13" ht="14.25" hidden="1" customHeight="1">
      <c r="B13" s="3">
        <v>1.0</v>
      </c>
      <c r="C13" s="4" t="s">
        <v>49</v>
      </c>
      <c r="D13" s="15">
        <v>48000.0</v>
      </c>
      <c r="E13" s="6">
        <v>48000.0</v>
      </c>
      <c r="F13" s="15"/>
    </row>
    <row r="14" ht="14.25" hidden="1" customHeight="1">
      <c r="B14" s="3">
        <v>2.0</v>
      </c>
      <c r="C14" s="4" t="s">
        <v>50</v>
      </c>
      <c r="D14" s="15">
        <v>23500.0</v>
      </c>
      <c r="E14" s="6">
        <f>PENDAPATAN!$D14/3</f>
        <v>7833.333333</v>
      </c>
      <c r="F14" s="15"/>
    </row>
    <row r="15" ht="14.25" hidden="1" customHeight="1">
      <c r="B15" s="3">
        <v>3.0</v>
      </c>
      <c r="C15" s="4" t="s">
        <v>53</v>
      </c>
      <c r="D15" s="15">
        <v>23500.0</v>
      </c>
      <c r="E15" s="6">
        <f>PENDAPATAN!$D15/100*4.5</f>
        <v>1057.5</v>
      </c>
      <c r="F15" s="15"/>
    </row>
    <row r="16" ht="14.25" hidden="1" customHeight="1">
      <c r="B16" s="3">
        <v>4.0</v>
      </c>
      <c r="C16" s="4" t="s">
        <v>54</v>
      </c>
      <c r="D16" s="15">
        <v>22500.0</v>
      </c>
      <c r="E16" s="6">
        <f>PENDAPATAN!$D16/125*9</f>
        <v>1620</v>
      </c>
      <c r="F16" s="15"/>
    </row>
    <row r="17" ht="14.25" hidden="1" customHeight="1">
      <c r="B17" s="3">
        <v>5.0</v>
      </c>
      <c r="C17" s="4" t="s">
        <v>55</v>
      </c>
      <c r="D17" s="15">
        <v>37000.0</v>
      </c>
      <c r="E17" s="6">
        <f>PENDAPATAN!$D17/10</f>
        <v>3700</v>
      </c>
      <c r="F17" s="15"/>
    </row>
    <row r="18" ht="14.25" hidden="1" customHeight="1">
      <c r="B18" s="3">
        <v>6.0</v>
      </c>
      <c r="C18" s="4" t="s">
        <v>56</v>
      </c>
      <c r="D18" s="15">
        <v>23000.0</v>
      </c>
      <c r="E18" s="6">
        <f>PENDAPATAN!$D18/20</f>
        <v>1150</v>
      </c>
      <c r="F18" s="15"/>
    </row>
    <row r="19" ht="14.25" hidden="1" customHeight="1">
      <c r="B19" s="3">
        <v>7.0</v>
      </c>
      <c r="C19" s="4" t="s">
        <v>57</v>
      </c>
      <c r="D19" s="15">
        <v>7000.0</v>
      </c>
      <c r="E19" s="6">
        <f>PENDAPATAN!$D19/100*4</f>
        <v>280</v>
      </c>
      <c r="F19" s="15"/>
    </row>
    <row r="20" ht="14.25" hidden="1" customHeight="1">
      <c r="B20" s="3"/>
      <c r="C20" s="4"/>
      <c r="D20" s="15" t="s">
        <v>58</v>
      </c>
      <c r="E20" s="6">
        <f>E13+E14+E15+E16+E17+E18+E19</f>
        <v>63640.83333</v>
      </c>
      <c r="F20" s="15"/>
    </row>
    <row r="21" ht="14.25" hidden="1" customHeight="1">
      <c r="B21" s="3"/>
      <c r="C21" s="4"/>
      <c r="D21" s="15" t="s">
        <v>60</v>
      </c>
      <c r="E21" s="6">
        <v>89000.0</v>
      </c>
      <c r="F21" s="15"/>
    </row>
    <row r="22" ht="14.25" hidden="1" customHeight="1">
      <c r="B22" s="3"/>
      <c r="C22" s="4"/>
      <c r="D22" s="15" t="s">
        <v>61</v>
      </c>
      <c r="E22" s="6">
        <f>E21-E20</f>
        <v>25359.16667</v>
      </c>
      <c r="F22" s="15"/>
    </row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20.0"/>
    <col customWidth="1" min="5" max="5" width="15.0"/>
    <col customWidth="1" min="6" max="6" width="15.86"/>
    <col customWidth="1" min="7" max="7" width="21.0"/>
    <col customWidth="1" min="8" max="26" width="8.71"/>
  </cols>
  <sheetData>
    <row r="2">
      <c r="C2" s="1" t="s">
        <v>1</v>
      </c>
    </row>
    <row r="3" ht="14.25" customHeight="1"/>
    <row r="4" ht="14.25" customHeight="1"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</row>
    <row r="5" ht="14.25" customHeight="1">
      <c r="C5" s="5">
        <v>1.0</v>
      </c>
      <c r="D5" s="7" t="s">
        <v>7</v>
      </c>
      <c r="E5" s="7" t="s">
        <v>8</v>
      </c>
      <c r="F5" s="8">
        <v>48000.0</v>
      </c>
      <c r="G5" s="8">
        <v>48000.0</v>
      </c>
    </row>
    <row r="6" ht="14.25" customHeight="1">
      <c r="C6" s="5">
        <v>2.0</v>
      </c>
      <c r="D6" s="7" t="s">
        <v>13</v>
      </c>
      <c r="E6" s="7" t="s">
        <v>14</v>
      </c>
      <c r="F6" s="8">
        <v>23500.0</v>
      </c>
      <c r="G6" s="8">
        <f>F6/3</f>
        <v>7833.333333</v>
      </c>
    </row>
    <row r="7" ht="14.25" customHeight="1">
      <c r="C7" s="5">
        <v>3.0</v>
      </c>
      <c r="D7" s="7" t="s">
        <v>21</v>
      </c>
      <c r="E7" s="7" t="s">
        <v>23</v>
      </c>
      <c r="F7" s="8">
        <v>23500.0</v>
      </c>
      <c r="G7" s="8">
        <f>F7/100*4.5</f>
        <v>1057.5</v>
      </c>
    </row>
    <row r="8" ht="14.25" customHeight="1">
      <c r="C8" s="5">
        <v>4.0</v>
      </c>
      <c r="D8" s="7" t="s">
        <v>24</v>
      </c>
      <c r="E8" s="7" t="s">
        <v>25</v>
      </c>
      <c r="F8" s="8">
        <v>22500.0</v>
      </c>
      <c r="G8" s="8">
        <f>F8/125*9</f>
        <v>1620</v>
      </c>
    </row>
    <row r="9" ht="14.25" customHeight="1">
      <c r="C9" s="5">
        <v>5.0</v>
      </c>
      <c r="D9" s="7" t="s">
        <v>29</v>
      </c>
      <c r="E9" s="7" t="s">
        <v>30</v>
      </c>
      <c r="F9" s="8">
        <v>37700.0</v>
      </c>
      <c r="G9" s="8">
        <f>F9/10</f>
        <v>3770</v>
      </c>
    </row>
    <row r="10" ht="14.25" customHeight="1">
      <c r="C10" s="5">
        <v>6.0</v>
      </c>
      <c r="D10" s="7" t="s">
        <v>31</v>
      </c>
      <c r="E10" s="7" t="s">
        <v>33</v>
      </c>
      <c r="F10" s="8">
        <v>7000.0</v>
      </c>
      <c r="G10" s="8">
        <f>F10/50*2</f>
        <v>280</v>
      </c>
    </row>
    <row r="11" ht="14.25" customHeight="1">
      <c r="C11" s="5">
        <v>7.0</v>
      </c>
      <c r="D11" s="7" t="s">
        <v>35</v>
      </c>
      <c r="E11" s="7" t="s">
        <v>36</v>
      </c>
      <c r="F11" s="8">
        <v>23000.0</v>
      </c>
      <c r="G11" s="8">
        <f>F11/20</f>
        <v>1150</v>
      </c>
    </row>
    <row r="12" ht="14.25" customHeight="1">
      <c r="C12" s="7"/>
      <c r="D12" s="7"/>
      <c r="E12" s="7"/>
      <c r="F12" s="7" t="s">
        <v>37</v>
      </c>
      <c r="G12" s="8">
        <f>SUM(G5:G11)</f>
        <v>63710.83333</v>
      </c>
    </row>
    <row r="13" ht="14.25" customHeight="1">
      <c r="C13" s="7"/>
      <c r="D13" s="7"/>
      <c r="E13" s="7"/>
      <c r="F13" s="7" t="s">
        <v>40</v>
      </c>
      <c r="G13" s="8">
        <v>89000.0</v>
      </c>
    </row>
    <row r="14" ht="14.25" customHeight="1">
      <c r="C14" s="7"/>
      <c r="D14" s="7"/>
      <c r="E14" s="7"/>
      <c r="F14" s="7" t="s">
        <v>41</v>
      </c>
      <c r="G14" s="8">
        <f>G13-G12</f>
        <v>25289.16667</v>
      </c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21.0"/>
    <col customWidth="1" min="4" max="4" width="16.0"/>
    <col customWidth="1" min="5" max="5" width="16.71"/>
    <col customWidth="1" min="6" max="6" width="18.43"/>
    <col customWidth="1" min="7" max="26" width="8.71"/>
  </cols>
  <sheetData>
    <row r="1" ht="14.25" customHeight="1"/>
    <row r="2" ht="14.25" customHeight="1">
      <c r="B2" s="1" t="s">
        <v>0</v>
      </c>
    </row>
    <row r="3" ht="14.25" customHeight="1"/>
    <row r="4" ht="14.25" customHeight="1"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</row>
    <row r="5" ht="14.25" customHeight="1">
      <c r="B5" s="3">
        <v>1.0</v>
      </c>
      <c r="C5" s="4" t="s">
        <v>7</v>
      </c>
      <c r="D5" s="4" t="s">
        <v>8</v>
      </c>
      <c r="E5" s="6">
        <v>58000.0</v>
      </c>
      <c r="F5" s="6">
        <f>E5</f>
        <v>58000</v>
      </c>
    </row>
    <row r="6" ht="14.25" customHeight="1">
      <c r="B6" s="3">
        <v>2.0</v>
      </c>
      <c r="C6" s="4" t="s">
        <v>13</v>
      </c>
      <c r="D6" s="4" t="s">
        <v>14</v>
      </c>
      <c r="E6" s="6">
        <v>23500.0</v>
      </c>
      <c r="F6" s="6">
        <f>E6/3</f>
        <v>7833.333333</v>
      </c>
    </row>
    <row r="7" ht="14.25" customHeight="1">
      <c r="B7" s="3">
        <v>3.0</v>
      </c>
      <c r="C7" s="4" t="s">
        <v>21</v>
      </c>
      <c r="D7" s="4" t="s">
        <v>22</v>
      </c>
      <c r="E7" s="6">
        <v>23500.0</v>
      </c>
      <c r="F7" s="6">
        <f>E7/100*4.5</f>
        <v>1057.5</v>
      </c>
    </row>
    <row r="8" ht="14.25" customHeight="1">
      <c r="B8" s="3">
        <v>4.0</v>
      </c>
      <c r="C8" s="4" t="s">
        <v>24</v>
      </c>
      <c r="D8" s="4" t="s">
        <v>25</v>
      </c>
      <c r="E8" s="6">
        <v>22500.0</v>
      </c>
      <c r="F8" s="6">
        <f>E8/125*9</f>
        <v>1620</v>
      </c>
    </row>
    <row r="9" ht="14.25" customHeight="1">
      <c r="B9" s="3">
        <v>5.0</v>
      </c>
      <c r="C9" s="4" t="s">
        <v>29</v>
      </c>
      <c r="D9" s="4" t="s">
        <v>30</v>
      </c>
      <c r="E9" s="6">
        <v>37700.0</v>
      </c>
      <c r="F9" s="6">
        <f>E9/10</f>
        <v>3770</v>
      </c>
    </row>
    <row r="10" ht="14.25" customHeight="1">
      <c r="B10" s="3">
        <v>6.0</v>
      </c>
      <c r="C10" s="4" t="s">
        <v>31</v>
      </c>
      <c r="D10" s="4" t="s">
        <v>33</v>
      </c>
      <c r="E10" s="6">
        <v>7000.0</v>
      </c>
      <c r="F10" s="6">
        <f>E10/50*2</f>
        <v>280</v>
      </c>
    </row>
    <row r="11" ht="14.25" customHeight="1">
      <c r="B11" s="3">
        <v>7.0</v>
      </c>
      <c r="C11" s="4" t="s">
        <v>35</v>
      </c>
      <c r="D11" s="4" t="s">
        <v>36</v>
      </c>
      <c r="E11" s="6">
        <v>23000.0</v>
      </c>
      <c r="F11" s="6">
        <f>E11/20</f>
        <v>1150</v>
      </c>
    </row>
    <row r="12" ht="14.25" customHeight="1">
      <c r="B12" s="4"/>
      <c r="C12" s="4"/>
      <c r="D12" s="4"/>
      <c r="E12" s="4" t="s">
        <v>37</v>
      </c>
      <c r="F12" s="6">
        <f>SUM(F5:F11)</f>
        <v>73710.83333</v>
      </c>
    </row>
    <row r="13" ht="14.25" customHeight="1">
      <c r="B13" s="4"/>
      <c r="C13" s="4"/>
      <c r="D13" s="4"/>
      <c r="E13" s="4" t="s">
        <v>40</v>
      </c>
      <c r="F13" s="6">
        <v>89000.0</v>
      </c>
    </row>
    <row r="14" ht="14.25" customHeight="1">
      <c r="B14" s="4"/>
      <c r="C14" s="4"/>
      <c r="D14" s="4"/>
      <c r="E14" s="4" t="s">
        <v>41</v>
      </c>
      <c r="F14" s="6">
        <f>F13-F12</f>
        <v>15289.16667</v>
      </c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24.43"/>
    <col customWidth="1" min="5" max="5" width="8.71"/>
    <col customWidth="1" min="6" max="6" width="19.57"/>
    <col customWidth="1" min="7" max="7" width="21.0"/>
    <col customWidth="1" min="8" max="26" width="8.71"/>
  </cols>
  <sheetData>
    <row r="1" ht="14.25" customHeight="1"/>
    <row r="2" ht="14.25" customHeight="1">
      <c r="C2" s="1" t="s">
        <v>10</v>
      </c>
    </row>
    <row r="3" ht="14.25" customHeight="1"/>
    <row r="4" ht="14.25" customHeight="1">
      <c r="C4" s="2" t="s">
        <v>2</v>
      </c>
      <c r="D4" s="2" t="s">
        <v>3</v>
      </c>
      <c r="E4" s="2" t="s">
        <v>4</v>
      </c>
      <c r="F4" s="2" t="s">
        <v>5</v>
      </c>
      <c r="G4" s="2" t="s">
        <v>15</v>
      </c>
    </row>
    <row r="5" ht="14.25" customHeight="1">
      <c r="C5" s="3">
        <v>1.0</v>
      </c>
      <c r="D5" s="4" t="s">
        <v>18</v>
      </c>
      <c r="E5" s="4" t="s">
        <v>19</v>
      </c>
      <c r="F5" s="6">
        <v>12000.0</v>
      </c>
      <c r="G5" s="6">
        <f>NASI!$F5/9</f>
        <v>1333.333333</v>
      </c>
    </row>
    <row r="6" ht="14.25" customHeight="1">
      <c r="C6" s="3">
        <v>2.0</v>
      </c>
      <c r="D6" s="4" t="s">
        <v>27</v>
      </c>
      <c r="E6" s="4" t="s">
        <v>28</v>
      </c>
      <c r="F6" s="6">
        <v>13000.0</v>
      </c>
      <c r="G6" s="6">
        <f>F6/100</f>
        <v>130</v>
      </c>
    </row>
    <row r="7" ht="14.25" customHeight="1">
      <c r="C7" s="3">
        <v>3.0</v>
      </c>
      <c r="D7" s="4" t="s">
        <v>32</v>
      </c>
      <c r="E7" s="4" t="s">
        <v>28</v>
      </c>
      <c r="F7" s="6">
        <v>125000.0</v>
      </c>
      <c r="G7" s="6">
        <f>NASI!$F7/100</f>
        <v>1250</v>
      </c>
    </row>
    <row r="8" ht="14.25" customHeight="1">
      <c r="C8" s="4"/>
      <c r="D8" s="4"/>
      <c r="E8" s="4"/>
      <c r="F8" s="4" t="s">
        <v>38</v>
      </c>
      <c r="G8" s="6">
        <f>G5+G6+G7</f>
        <v>2713.333333</v>
      </c>
    </row>
    <row r="9" ht="14.25" customHeight="1">
      <c r="C9" s="4"/>
      <c r="D9" s="4"/>
      <c r="E9" s="4"/>
      <c r="F9" s="4" t="s">
        <v>42</v>
      </c>
      <c r="G9" s="6">
        <v>5000.0</v>
      </c>
    </row>
    <row r="10" ht="14.25" customHeight="1">
      <c r="C10" s="4"/>
      <c r="D10" s="4"/>
      <c r="E10" s="4"/>
      <c r="F10" s="4" t="s">
        <v>44</v>
      </c>
      <c r="G10" s="6">
        <f>G9-G8</f>
        <v>2286.666667</v>
      </c>
    </row>
    <row r="11" ht="14.25" customHeight="1">
      <c r="C11" s="4"/>
      <c r="D11" s="4"/>
      <c r="E11" s="4"/>
      <c r="F11" s="4" t="s">
        <v>48</v>
      </c>
      <c r="G11" s="6">
        <f>G10+G10</f>
        <v>4573.333333</v>
      </c>
    </row>
    <row r="12" ht="14.25" customHeight="1">
      <c r="C12" s="4"/>
      <c r="D12" s="4"/>
      <c r="E12" s="4"/>
      <c r="F12" s="4" t="s">
        <v>51</v>
      </c>
      <c r="G12" s="6">
        <v>2500.0</v>
      </c>
    </row>
    <row r="13" ht="14.25" customHeight="1">
      <c r="C13" s="4"/>
      <c r="D13" s="4"/>
      <c r="E13" s="4"/>
      <c r="F13" s="4" t="s">
        <v>52</v>
      </c>
      <c r="G13" s="6">
        <f>G11-G12</f>
        <v>2073.333333</v>
      </c>
    </row>
    <row r="14" ht="14.25" customHeight="1"/>
    <row r="15" ht="14.25" customHeight="1">
      <c r="C15" s="2" t="s">
        <v>2</v>
      </c>
      <c r="D15" s="2" t="s">
        <v>3</v>
      </c>
      <c r="E15" s="2" t="s">
        <v>4</v>
      </c>
      <c r="F15" s="2" t="s">
        <v>5</v>
      </c>
      <c r="G15" s="2" t="s">
        <v>15</v>
      </c>
    </row>
    <row r="16" ht="14.25" customHeight="1">
      <c r="C16" s="3">
        <v>1.0</v>
      </c>
      <c r="D16" s="4" t="s">
        <v>18</v>
      </c>
      <c r="E16" s="4" t="s">
        <v>19</v>
      </c>
      <c r="F16" s="6">
        <v>12000.0</v>
      </c>
      <c r="G16" s="6">
        <f>NASI!$F16/9</f>
        <v>1333.333333</v>
      </c>
    </row>
    <row r="17" ht="14.25" customHeight="1">
      <c r="C17" s="3">
        <v>2.0</v>
      </c>
      <c r="D17" s="4" t="s">
        <v>27</v>
      </c>
      <c r="E17" s="4" t="s">
        <v>28</v>
      </c>
      <c r="F17" s="6">
        <v>13000.0</v>
      </c>
      <c r="G17" s="6">
        <f>F17/100</f>
        <v>130</v>
      </c>
    </row>
    <row r="18" ht="14.25" customHeight="1">
      <c r="C18" s="3">
        <v>3.0</v>
      </c>
      <c r="D18" s="4" t="s">
        <v>59</v>
      </c>
      <c r="E18" s="4" t="s">
        <v>28</v>
      </c>
      <c r="F18" s="6">
        <v>23500.0</v>
      </c>
      <c r="G18" s="6">
        <f>NASI!$F18/100</f>
        <v>235</v>
      </c>
    </row>
    <row r="19" ht="14.25" customHeight="1">
      <c r="C19" s="4"/>
      <c r="D19" s="4"/>
      <c r="E19" s="4"/>
      <c r="F19" s="4" t="s">
        <v>38</v>
      </c>
      <c r="G19" s="6">
        <f>G16+G17+G18</f>
        <v>1698.333333</v>
      </c>
    </row>
    <row r="20" ht="14.25" customHeight="1">
      <c r="C20" s="4"/>
      <c r="D20" s="4"/>
      <c r="E20" s="4"/>
      <c r="F20" s="4" t="s">
        <v>42</v>
      </c>
      <c r="G20" s="6">
        <v>5000.0</v>
      </c>
    </row>
    <row r="21" ht="14.25" customHeight="1">
      <c r="C21" s="4"/>
      <c r="D21" s="4"/>
      <c r="E21" s="4"/>
      <c r="F21" s="4" t="s">
        <v>44</v>
      </c>
      <c r="G21" s="6">
        <f>G20-G19</f>
        <v>3301.666667</v>
      </c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20.57"/>
    <col customWidth="1" min="4" max="4" width="15.0"/>
    <col customWidth="1" min="5" max="5" width="17.0"/>
    <col customWidth="1" min="6" max="6" width="22.14"/>
    <col customWidth="1" min="7" max="26" width="8.71"/>
  </cols>
  <sheetData>
    <row r="1" ht="14.25" customHeight="1"/>
    <row r="2" ht="14.25" customHeight="1">
      <c r="B2" s="1" t="s">
        <v>62</v>
      </c>
    </row>
    <row r="3" ht="14.25" customHeight="1"/>
    <row r="4" ht="14.25" customHeight="1">
      <c r="B4" s="2" t="s">
        <v>2</v>
      </c>
      <c r="C4" s="2" t="s">
        <v>3</v>
      </c>
      <c r="D4" s="2" t="s">
        <v>4</v>
      </c>
      <c r="E4" s="2" t="s">
        <v>5</v>
      </c>
      <c r="F4" s="2" t="s">
        <v>64</v>
      </c>
    </row>
    <row r="5" ht="14.25" customHeight="1">
      <c r="B5" s="3">
        <v>1.0</v>
      </c>
      <c r="C5" s="4" t="s">
        <v>65</v>
      </c>
      <c r="D5" s="4" t="s">
        <v>66</v>
      </c>
      <c r="E5" s="6">
        <v>24400.0</v>
      </c>
      <c r="F5" s="6">
        <f>CR!$E5/10</f>
        <v>2440</v>
      </c>
    </row>
    <row r="6" ht="14.25" customHeight="1">
      <c r="B6" s="3">
        <v>2.0</v>
      </c>
      <c r="C6" s="4" t="s">
        <v>13</v>
      </c>
      <c r="D6" s="4" t="s">
        <v>14</v>
      </c>
      <c r="E6" s="6">
        <v>23500.0</v>
      </c>
      <c r="F6" s="6">
        <f>CR!$E6*0</f>
        <v>0</v>
      </c>
    </row>
    <row r="7" ht="14.25" customHeight="1">
      <c r="B7" s="3">
        <v>3.0</v>
      </c>
      <c r="C7" s="4" t="s">
        <v>29</v>
      </c>
      <c r="D7" s="4" t="s">
        <v>30</v>
      </c>
      <c r="E7" s="6">
        <v>37700.0</v>
      </c>
      <c r="F7" s="6">
        <f>CR!$E7/60</f>
        <v>628.3333333</v>
      </c>
    </row>
    <row r="8" ht="14.25" customHeight="1">
      <c r="B8" s="3">
        <v>4.0</v>
      </c>
      <c r="C8" s="4" t="s">
        <v>69</v>
      </c>
      <c r="D8" s="4" t="s">
        <v>22</v>
      </c>
      <c r="E8" s="6">
        <v>23500.0</v>
      </c>
      <c r="F8" s="6">
        <f>CR!$E8/100/3</f>
        <v>78.33333333</v>
      </c>
    </row>
    <row r="9" ht="14.25" customHeight="1">
      <c r="B9" s="3">
        <v>5.0</v>
      </c>
      <c r="C9" s="4" t="s">
        <v>24</v>
      </c>
      <c r="D9" s="4" t="s">
        <v>25</v>
      </c>
      <c r="E9" s="6">
        <v>22500.0</v>
      </c>
      <c r="F9" s="6">
        <f>CR!$E9/125</f>
        <v>180</v>
      </c>
    </row>
    <row r="10" ht="14.25" customHeight="1">
      <c r="B10" s="3">
        <v>6.0</v>
      </c>
      <c r="C10" s="4" t="s">
        <v>31</v>
      </c>
      <c r="D10" s="4" t="s">
        <v>33</v>
      </c>
      <c r="E10" s="6">
        <v>7000.0</v>
      </c>
      <c r="F10" s="6">
        <f>CR!$E10/50/3</f>
        <v>46.66666667</v>
      </c>
    </row>
    <row r="11" ht="14.25" customHeight="1">
      <c r="B11" s="3">
        <v>7.0</v>
      </c>
      <c r="C11" s="4" t="s">
        <v>35</v>
      </c>
      <c r="D11" s="4" t="s">
        <v>36</v>
      </c>
      <c r="E11" s="6">
        <v>23000.0</v>
      </c>
      <c r="F11" s="6">
        <f>E11/150</f>
        <v>153.3333333</v>
      </c>
    </row>
    <row r="12" ht="14.25" customHeight="1">
      <c r="B12" s="4"/>
      <c r="C12" s="4"/>
      <c r="D12" s="4"/>
      <c r="E12" s="4" t="s">
        <v>71</v>
      </c>
      <c r="F12" s="6">
        <f>SUM(F5:F11)</f>
        <v>3526.666667</v>
      </c>
    </row>
    <row r="13" ht="14.25" customHeight="1">
      <c r="B13" s="4"/>
      <c r="C13" s="4"/>
      <c r="D13" s="4"/>
      <c r="E13" s="4" t="s">
        <v>72</v>
      </c>
      <c r="F13" s="6">
        <v>4000.0</v>
      </c>
    </row>
    <row r="14" ht="14.25" customHeight="1">
      <c r="B14" s="4"/>
      <c r="C14" s="4"/>
      <c r="D14" s="4"/>
      <c r="E14" s="4" t="s">
        <v>73</v>
      </c>
      <c r="F14" s="6">
        <f>F13-F12</f>
        <v>473.3333333</v>
      </c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20.0"/>
    <col customWidth="1" min="4" max="4" width="15.0"/>
    <col customWidth="1" min="5" max="5" width="17.43"/>
    <col customWidth="1" min="6" max="6" width="22.14"/>
    <col customWidth="1" min="7" max="26" width="8.71"/>
  </cols>
  <sheetData>
    <row r="1" ht="14.25" customHeight="1"/>
    <row r="2" ht="14.25" customHeight="1">
      <c r="B2" s="1" t="s">
        <v>63</v>
      </c>
    </row>
    <row r="3" ht="14.25" customHeight="1"/>
    <row r="4" ht="14.25" customHeight="1">
      <c r="B4" s="2" t="s">
        <v>2</v>
      </c>
      <c r="C4" s="2" t="s">
        <v>3</v>
      </c>
      <c r="D4" s="2" t="s">
        <v>4</v>
      </c>
      <c r="E4" s="2" t="s">
        <v>5</v>
      </c>
      <c r="F4" s="2" t="s">
        <v>64</v>
      </c>
    </row>
    <row r="5" ht="14.25" customHeight="1">
      <c r="B5" s="3">
        <v>1.0</v>
      </c>
      <c r="C5" s="4" t="s">
        <v>67</v>
      </c>
      <c r="D5" s="4" t="s">
        <v>68</v>
      </c>
      <c r="E5" s="6">
        <v>24000.0</v>
      </c>
      <c r="F5" s="6">
        <f>BKS!$E5/10</f>
        <v>2400</v>
      </c>
    </row>
    <row r="6" ht="14.25" customHeight="1">
      <c r="B6" s="3">
        <v>2.0</v>
      </c>
      <c r="C6" s="4" t="s">
        <v>13</v>
      </c>
      <c r="D6" s="4" t="s">
        <v>14</v>
      </c>
      <c r="E6" s="6">
        <v>23500.0</v>
      </c>
      <c r="F6" s="6">
        <f>CR!$E6*0</f>
        <v>0</v>
      </c>
    </row>
    <row r="7" ht="14.25" customHeight="1">
      <c r="B7" s="3">
        <v>3.0</v>
      </c>
      <c r="C7" s="4" t="s">
        <v>29</v>
      </c>
      <c r="D7" s="4" t="s">
        <v>30</v>
      </c>
      <c r="E7" s="6">
        <v>37700.0</v>
      </c>
      <c r="F7" s="6">
        <f>BKS!$E7/60</f>
        <v>628.3333333</v>
      </c>
    </row>
    <row r="8" ht="14.25" customHeight="1">
      <c r="B8" s="3">
        <v>4.0</v>
      </c>
      <c r="C8" s="4" t="s">
        <v>69</v>
      </c>
      <c r="D8" s="4" t="s">
        <v>70</v>
      </c>
      <c r="E8" s="6">
        <v>23500.0</v>
      </c>
      <c r="F8" s="6">
        <f>BKS!$E8/95/3</f>
        <v>82.45614035</v>
      </c>
    </row>
    <row r="9" ht="14.25" customHeight="1">
      <c r="B9" s="3">
        <v>5.0</v>
      </c>
      <c r="C9" s="4" t="s">
        <v>24</v>
      </c>
      <c r="D9" s="4" t="s">
        <v>25</v>
      </c>
      <c r="E9" s="6">
        <v>22500.0</v>
      </c>
      <c r="F9" s="6">
        <f>BKS!$E9/125</f>
        <v>180</v>
      </c>
    </row>
    <row r="10" ht="14.25" customHeight="1">
      <c r="B10" s="3">
        <v>6.0</v>
      </c>
      <c r="C10" s="4" t="s">
        <v>31</v>
      </c>
      <c r="D10" s="4" t="s">
        <v>33</v>
      </c>
      <c r="E10" s="6">
        <v>7000.0</v>
      </c>
      <c r="F10" s="6">
        <f>BKS!$E10/50</f>
        <v>140</v>
      </c>
    </row>
    <row r="11" ht="14.25" customHeight="1">
      <c r="B11" s="3">
        <v>7.0</v>
      </c>
      <c r="C11" s="4" t="s">
        <v>35</v>
      </c>
      <c r="D11" s="4" t="s">
        <v>36</v>
      </c>
      <c r="E11" s="6">
        <v>23000.0</v>
      </c>
      <c r="F11" s="6">
        <f>E11/150</f>
        <v>153.3333333</v>
      </c>
    </row>
    <row r="12" ht="14.25" customHeight="1">
      <c r="B12" s="4"/>
      <c r="C12" s="4"/>
      <c r="D12" s="4"/>
      <c r="E12" s="4" t="s">
        <v>71</v>
      </c>
      <c r="F12" s="6">
        <f>SUM(F5:F11)</f>
        <v>3584.122807</v>
      </c>
    </row>
    <row r="13" ht="14.25" customHeight="1">
      <c r="B13" s="4"/>
      <c r="C13" s="4"/>
      <c r="D13" s="4"/>
      <c r="E13" s="4" t="s">
        <v>72</v>
      </c>
      <c r="F13" s="6">
        <v>4000.0</v>
      </c>
    </row>
    <row r="14" ht="14.25" customHeight="1">
      <c r="B14" s="4"/>
      <c r="C14" s="4"/>
      <c r="D14" s="4"/>
      <c r="E14" s="4" t="s">
        <v>73</v>
      </c>
      <c r="F14" s="6">
        <f>F13-F12</f>
        <v>415.877193</v>
      </c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20.0"/>
    <col customWidth="1" min="4" max="4" width="15.0"/>
    <col customWidth="1" min="5" max="5" width="17.43"/>
    <col customWidth="1" min="6" max="6" width="22.14"/>
    <col customWidth="1" min="7" max="26" width="8.71"/>
  </cols>
  <sheetData>
    <row r="1" ht="14.25" customHeight="1"/>
    <row r="2" ht="14.25" customHeight="1">
      <c r="B2" s="1" t="s">
        <v>74</v>
      </c>
    </row>
    <row r="3" ht="14.25" customHeight="1"/>
    <row r="4" ht="14.25" customHeight="1">
      <c r="B4" s="2" t="s">
        <v>2</v>
      </c>
      <c r="C4" s="2" t="s">
        <v>3</v>
      </c>
      <c r="D4" s="2" t="s">
        <v>4</v>
      </c>
      <c r="E4" s="2" t="s">
        <v>5</v>
      </c>
      <c r="F4" s="2" t="s">
        <v>64</v>
      </c>
    </row>
    <row r="5" ht="14.25" customHeight="1">
      <c r="B5" s="3">
        <v>1.0</v>
      </c>
      <c r="C5" s="4" t="s">
        <v>75</v>
      </c>
      <c r="D5" s="4" t="s">
        <v>76</v>
      </c>
      <c r="E5" s="6">
        <v>59800.0</v>
      </c>
      <c r="F5" s="6">
        <f>CS!$E5/30</f>
        <v>1993.333333</v>
      </c>
    </row>
    <row r="6" ht="14.25" customHeight="1">
      <c r="B6" s="3">
        <v>2.0</v>
      </c>
      <c r="C6" s="4" t="s">
        <v>13</v>
      </c>
      <c r="D6" s="4" t="s">
        <v>14</v>
      </c>
      <c r="E6" s="6">
        <v>23500.0</v>
      </c>
      <c r="F6" s="6">
        <f>CS!$E6/1400*20</f>
        <v>335.7142857</v>
      </c>
    </row>
    <row r="7" ht="14.25" customHeight="1">
      <c r="B7" s="3">
        <v>3.0</v>
      </c>
      <c r="C7" s="4" t="s">
        <v>29</v>
      </c>
      <c r="D7" s="4" t="s">
        <v>30</v>
      </c>
      <c r="E7" s="6">
        <v>37700.0</v>
      </c>
      <c r="F7" s="6">
        <f>CS!$E7/60</f>
        <v>628.3333333</v>
      </c>
    </row>
    <row r="8" ht="14.25" customHeight="1">
      <c r="B8" s="3">
        <v>4.0</v>
      </c>
      <c r="C8" s="4" t="s">
        <v>69</v>
      </c>
      <c r="D8" s="4" t="s">
        <v>22</v>
      </c>
      <c r="E8" s="6">
        <v>23500.0</v>
      </c>
      <c r="F8" s="6">
        <f>CS!$E8/100/3</f>
        <v>78.33333333</v>
      </c>
    </row>
    <row r="9" ht="14.25" customHeight="1">
      <c r="B9" s="3">
        <v>5.0</v>
      </c>
      <c r="C9" s="4" t="s">
        <v>24</v>
      </c>
      <c r="D9" s="4" t="s">
        <v>25</v>
      </c>
      <c r="E9" s="6">
        <v>22500.0</v>
      </c>
      <c r="F9" s="6">
        <f>CS!$E9/125</f>
        <v>180</v>
      </c>
    </row>
    <row r="10" ht="14.25" customHeight="1">
      <c r="B10" s="3">
        <v>6.0</v>
      </c>
      <c r="C10" s="4" t="s">
        <v>31</v>
      </c>
      <c r="D10" s="4" t="s">
        <v>33</v>
      </c>
      <c r="E10" s="6">
        <v>7000.0</v>
      </c>
      <c r="F10" s="6">
        <f>CS!$E10/50/2</f>
        <v>70</v>
      </c>
    </row>
    <row r="11" ht="14.25" customHeight="1">
      <c r="B11" s="3">
        <v>7.0</v>
      </c>
      <c r="C11" s="4" t="s">
        <v>35</v>
      </c>
      <c r="D11" s="4" t="s">
        <v>36</v>
      </c>
      <c r="E11" s="6">
        <v>23000.0</v>
      </c>
      <c r="F11" s="6">
        <f>E11/150</f>
        <v>153.3333333</v>
      </c>
    </row>
    <row r="12" ht="14.25" customHeight="1">
      <c r="B12" s="4"/>
      <c r="C12" s="4"/>
      <c r="D12" s="4"/>
      <c r="E12" s="4" t="s">
        <v>71</v>
      </c>
      <c r="F12" s="6">
        <f>SUM(F5:F11)</f>
        <v>3439.047619</v>
      </c>
    </row>
    <row r="13" ht="14.25" customHeight="1">
      <c r="B13" s="4"/>
      <c r="C13" s="4"/>
      <c r="D13" s="4"/>
      <c r="E13" s="4" t="s">
        <v>72</v>
      </c>
      <c r="F13" s="6">
        <v>4000.0</v>
      </c>
    </row>
    <row r="14" ht="14.25" customHeight="1">
      <c r="B14" s="4"/>
      <c r="C14" s="4"/>
      <c r="D14" s="4"/>
      <c r="E14" s="4" t="s">
        <v>73</v>
      </c>
      <c r="F14" s="6">
        <f>F13-F12</f>
        <v>560.952381</v>
      </c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20.0"/>
    <col customWidth="1" min="4" max="4" width="16.71"/>
    <col customWidth="1" min="5" max="5" width="20.14"/>
    <col customWidth="1" min="6" max="6" width="24.86"/>
    <col customWidth="1" min="7" max="7" width="16.71"/>
    <col customWidth="1" min="8" max="26" width="8.71"/>
  </cols>
  <sheetData>
    <row r="1" ht="14.25" customHeight="1"/>
    <row r="2" ht="14.25" customHeight="1">
      <c r="B2" s="1" t="s">
        <v>77</v>
      </c>
    </row>
    <row r="3" ht="14.25" customHeight="1"/>
    <row r="4" ht="14.25" customHeight="1">
      <c r="B4" s="2" t="s">
        <v>2</v>
      </c>
      <c r="C4" s="2" t="s">
        <v>3</v>
      </c>
      <c r="D4" s="2" t="s">
        <v>4</v>
      </c>
      <c r="E4" s="2" t="s">
        <v>5</v>
      </c>
      <c r="F4" s="2" t="s">
        <v>78</v>
      </c>
      <c r="G4" s="2" t="s">
        <v>47</v>
      </c>
    </row>
    <row r="5" ht="14.25" customHeight="1">
      <c r="B5" s="3">
        <v>1.0</v>
      </c>
      <c r="C5" s="4" t="s">
        <v>80</v>
      </c>
      <c r="D5" s="4" t="s">
        <v>81</v>
      </c>
      <c r="E5" s="6">
        <v>2000.0</v>
      </c>
      <c r="F5" s="6">
        <f>'CHICKEN BUN'!$E5</f>
        <v>2000</v>
      </c>
      <c r="G5" s="4"/>
    </row>
    <row r="6" ht="14.25" customHeight="1">
      <c r="B6" s="3">
        <v>2.0</v>
      </c>
      <c r="C6" s="4" t="s">
        <v>86</v>
      </c>
      <c r="D6" s="4" t="s">
        <v>87</v>
      </c>
      <c r="E6" s="6">
        <v>8000.0</v>
      </c>
      <c r="F6" s="6">
        <f>'CHICKEN BUN'!$E6/3</f>
        <v>2666.666667</v>
      </c>
      <c r="G6" s="4" t="s">
        <v>90</v>
      </c>
    </row>
    <row r="7" ht="14.25" customHeight="1">
      <c r="B7" s="3">
        <v>3.0</v>
      </c>
      <c r="C7" s="4" t="s">
        <v>92</v>
      </c>
      <c r="D7" s="4" t="s">
        <v>93</v>
      </c>
      <c r="E7" s="6">
        <v>10000.0</v>
      </c>
      <c r="F7" s="6">
        <f>'CHICKEN BUN'!$E7/200*3</f>
        <v>150</v>
      </c>
      <c r="G7" s="4"/>
    </row>
    <row r="8" ht="14.25" customHeight="1">
      <c r="B8" s="3">
        <v>4.0</v>
      </c>
      <c r="C8" s="4" t="s">
        <v>96</v>
      </c>
      <c r="D8" s="4" t="s">
        <v>97</v>
      </c>
      <c r="E8" s="6">
        <v>800.0</v>
      </c>
      <c r="F8" s="6">
        <f>'CHICKEN BUN'!$E8/3</f>
        <v>266.6666667</v>
      </c>
      <c r="G8" s="4"/>
    </row>
    <row r="9" ht="14.25" customHeight="1">
      <c r="B9" s="3">
        <v>5.0</v>
      </c>
      <c r="C9" s="4" t="s">
        <v>24</v>
      </c>
      <c r="D9" s="4" t="s">
        <v>25</v>
      </c>
      <c r="E9" s="6">
        <v>22500.0</v>
      </c>
      <c r="F9" s="6">
        <f>'CHICKEN BUN'!$E9/125/3</f>
        <v>60</v>
      </c>
      <c r="G9" s="4"/>
    </row>
    <row r="10" ht="14.25" customHeight="1">
      <c r="B10" s="3">
        <v>6.0</v>
      </c>
      <c r="C10" s="4" t="s">
        <v>98</v>
      </c>
      <c r="D10" s="4" t="s">
        <v>99</v>
      </c>
      <c r="E10" s="6">
        <v>35000.0</v>
      </c>
      <c r="F10" s="6">
        <f>'CHICKEN BUN'!$E10/900*8</f>
        <v>311.1111111</v>
      </c>
      <c r="G10" s="4"/>
    </row>
    <row r="11" ht="14.25" customHeight="1">
      <c r="B11" s="3">
        <v>7.0</v>
      </c>
      <c r="C11" s="4" t="s">
        <v>110</v>
      </c>
      <c r="D11" s="4" t="s">
        <v>111</v>
      </c>
      <c r="E11" s="6">
        <v>8000.0</v>
      </c>
      <c r="F11" s="6">
        <f>'CHICKEN BUN'!$E11/20*0.3</f>
        <v>120</v>
      </c>
      <c r="G11" s="4" t="s">
        <v>112</v>
      </c>
    </row>
    <row r="12" ht="14.25" customHeight="1">
      <c r="B12" s="3">
        <v>8.0</v>
      </c>
      <c r="C12" s="4" t="s">
        <v>31</v>
      </c>
      <c r="D12" s="4" t="s">
        <v>33</v>
      </c>
      <c r="E12" s="6">
        <v>7000.0</v>
      </c>
      <c r="F12" s="6">
        <f>'CHICKEN BUN'!$E12/50</f>
        <v>140</v>
      </c>
      <c r="G12" s="4"/>
    </row>
    <row r="13" ht="14.25" customHeight="1">
      <c r="B13" s="3">
        <v>9.0</v>
      </c>
      <c r="C13" s="4" t="s">
        <v>113</v>
      </c>
      <c r="D13" s="4" t="s">
        <v>114</v>
      </c>
      <c r="E13" s="6">
        <v>85000.0</v>
      </c>
      <c r="F13" s="6">
        <f>'CHICKEN BUN'!$E13/100</f>
        <v>850</v>
      </c>
      <c r="G13" s="15"/>
    </row>
    <row r="14" ht="14.25" customHeight="1">
      <c r="B14" s="3">
        <v>10.0</v>
      </c>
      <c r="C14" s="4" t="s">
        <v>115</v>
      </c>
      <c r="D14" s="4" t="s">
        <v>36</v>
      </c>
      <c r="E14" s="6">
        <v>23000.0</v>
      </c>
      <c r="F14" s="6">
        <f>E14/150</f>
        <v>153.3333333</v>
      </c>
      <c r="G14" s="4"/>
    </row>
    <row r="15" ht="14.25" customHeight="1">
      <c r="B15" s="4"/>
      <c r="C15" s="4"/>
      <c r="D15" s="4"/>
      <c r="E15" s="6" t="s">
        <v>103</v>
      </c>
      <c r="F15" s="6">
        <f>SUM(F5:F14)</f>
        <v>6717.777778</v>
      </c>
      <c r="G15" s="4"/>
    </row>
    <row r="16" ht="14.25" customHeight="1">
      <c r="B16" s="4"/>
      <c r="C16" s="4"/>
      <c r="D16" s="4"/>
      <c r="E16" s="6" t="s">
        <v>105</v>
      </c>
      <c r="F16" s="6">
        <v>10000.0</v>
      </c>
      <c r="G16" s="4"/>
    </row>
    <row r="17" ht="14.25" customHeight="1">
      <c r="B17" s="4"/>
      <c r="C17" s="4"/>
      <c r="D17" s="4"/>
      <c r="E17" s="6" t="s">
        <v>107</v>
      </c>
      <c r="F17" s="6">
        <f>F16-F15</f>
        <v>3282.222222</v>
      </c>
      <c r="G17" s="4"/>
    </row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20.0"/>
    <col customWidth="1" min="4" max="4" width="15.0"/>
    <col customWidth="1" min="5" max="5" width="20.14"/>
    <col customWidth="1" min="6" max="6" width="22.14"/>
    <col customWidth="1" min="7" max="7" width="16.71"/>
    <col customWidth="1" min="8" max="26" width="8.71"/>
  </cols>
  <sheetData>
    <row r="1" ht="14.25" customHeight="1"/>
    <row r="2" ht="14.25" customHeight="1">
      <c r="B2" s="1" t="s">
        <v>79</v>
      </c>
    </row>
    <row r="3" ht="14.25" customHeight="1"/>
    <row r="4" ht="14.25" customHeight="1">
      <c r="B4" s="2" t="s">
        <v>2</v>
      </c>
      <c r="C4" s="2" t="s">
        <v>3</v>
      </c>
      <c r="D4" s="2" t="s">
        <v>4</v>
      </c>
      <c r="E4" s="2" t="s">
        <v>5</v>
      </c>
      <c r="F4" s="2" t="s">
        <v>78</v>
      </c>
      <c r="G4" s="2" t="s">
        <v>47</v>
      </c>
    </row>
    <row r="5" ht="14.25" customHeight="1">
      <c r="B5" s="3">
        <v>1.0</v>
      </c>
      <c r="C5" s="4" t="s">
        <v>82</v>
      </c>
      <c r="D5" s="4" t="s">
        <v>83</v>
      </c>
      <c r="E5" s="6">
        <v>20000.0</v>
      </c>
      <c r="F5" s="6">
        <f>KULIT!$E5/10</f>
        <v>2000</v>
      </c>
      <c r="G5" s="4" t="s">
        <v>85</v>
      </c>
    </row>
    <row r="6" ht="14.25" customHeight="1">
      <c r="B6" s="3">
        <v>2.0</v>
      </c>
      <c r="C6" s="4" t="s">
        <v>13</v>
      </c>
      <c r="D6" s="4" t="s">
        <v>14</v>
      </c>
      <c r="E6" s="6">
        <v>23500.0</v>
      </c>
      <c r="F6" s="6">
        <f>CS!$E6/1400*25</f>
        <v>419.6428571</v>
      </c>
      <c r="G6" s="4" t="s">
        <v>88</v>
      </c>
      <c r="K6" s="12">
        <v>10.0</v>
      </c>
      <c r="L6" s="12">
        <v>1.0</v>
      </c>
    </row>
    <row r="7" ht="14.25" customHeight="1">
      <c r="B7" s="3">
        <v>3.0</v>
      </c>
      <c r="C7" s="4" t="s">
        <v>29</v>
      </c>
      <c r="D7" s="4" t="s">
        <v>30</v>
      </c>
      <c r="E7" s="6">
        <v>37700.0</v>
      </c>
      <c r="F7" s="6">
        <f>CS!$E7/60</f>
        <v>628.3333333</v>
      </c>
      <c r="G7" s="4"/>
      <c r="K7" s="12">
        <f>K6*L7</f>
        <v>100</v>
      </c>
      <c r="L7" s="12">
        <v>10.0</v>
      </c>
    </row>
    <row r="8" ht="14.25" customHeight="1">
      <c r="B8" s="3">
        <v>4.0</v>
      </c>
      <c r="C8" s="4" t="s">
        <v>94</v>
      </c>
      <c r="D8" s="4" t="s">
        <v>22</v>
      </c>
      <c r="E8" s="6">
        <v>15000.0</v>
      </c>
      <c r="F8" s="6">
        <f>KULIT!$E8/100</f>
        <v>150</v>
      </c>
      <c r="G8" s="4"/>
    </row>
    <row r="9" ht="14.25" customHeight="1">
      <c r="B9" s="3">
        <v>5.0</v>
      </c>
      <c r="C9" s="4" t="s">
        <v>24</v>
      </c>
      <c r="D9" s="4" t="s">
        <v>25</v>
      </c>
      <c r="E9" s="6">
        <v>22500.0</v>
      </c>
      <c r="F9" s="6">
        <f>KULIT!$E9/125</f>
        <v>180</v>
      </c>
      <c r="G9" s="4"/>
    </row>
    <row r="10" ht="14.25" customHeight="1">
      <c r="B10" s="3">
        <v>6.0</v>
      </c>
      <c r="C10" s="4" t="s">
        <v>31</v>
      </c>
      <c r="D10" s="4" t="s">
        <v>33</v>
      </c>
      <c r="E10" s="6">
        <v>7000.0</v>
      </c>
      <c r="F10" s="6">
        <f>KULIT!$E10/50</f>
        <v>140</v>
      </c>
      <c r="G10" s="4"/>
    </row>
    <row r="11" ht="14.25" customHeight="1">
      <c r="B11" s="3">
        <v>7.0</v>
      </c>
      <c r="C11" s="4" t="s">
        <v>35</v>
      </c>
      <c r="D11" s="4" t="s">
        <v>36</v>
      </c>
      <c r="E11" s="6">
        <v>23000.0</v>
      </c>
      <c r="F11" s="6">
        <f>E11/150</f>
        <v>153.3333333</v>
      </c>
      <c r="G11" s="4"/>
    </row>
    <row r="12" ht="14.25" customHeight="1">
      <c r="B12" s="4"/>
      <c r="C12" s="4"/>
      <c r="D12" s="4"/>
      <c r="E12" s="4" t="s">
        <v>103</v>
      </c>
      <c r="F12" s="6">
        <f>SUM(F5:F11)</f>
        <v>3671.309524</v>
      </c>
      <c r="G12" s="4"/>
    </row>
    <row r="13" ht="14.25" customHeight="1">
      <c r="B13" s="4"/>
      <c r="C13" s="4"/>
      <c r="D13" s="4"/>
      <c r="E13" s="4" t="s">
        <v>105</v>
      </c>
      <c r="F13" s="6">
        <v>5000.0</v>
      </c>
      <c r="G13" s="4"/>
    </row>
    <row r="14" ht="14.25" customHeight="1">
      <c r="B14" s="4"/>
      <c r="C14" s="4"/>
      <c r="D14" s="4"/>
      <c r="E14" s="4" t="s">
        <v>107</v>
      </c>
      <c r="F14" s="6">
        <f>F13-F12</f>
        <v>1328.690476</v>
      </c>
      <c r="G14" s="4"/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27.86"/>
    <col customWidth="1" min="4" max="4" width="15.0"/>
    <col customWidth="1" min="5" max="5" width="20.14"/>
    <col customWidth="1" min="6" max="6" width="24.86"/>
    <col customWidth="1" min="7" max="7" width="41.43"/>
    <col customWidth="1" min="8" max="26" width="8.71"/>
  </cols>
  <sheetData>
    <row r="1" ht="14.25" customHeight="1"/>
    <row r="2" ht="14.25" customHeight="1">
      <c r="B2" s="1" t="s">
        <v>84</v>
      </c>
    </row>
    <row r="3" ht="14.25" customHeight="1"/>
    <row r="4" ht="14.25" customHeight="1">
      <c r="B4" s="2" t="s">
        <v>2</v>
      </c>
      <c r="C4" s="2" t="s">
        <v>3</v>
      </c>
      <c r="D4" s="2" t="s">
        <v>4</v>
      </c>
      <c r="E4" s="2" t="s">
        <v>5</v>
      </c>
      <c r="F4" s="2" t="s">
        <v>78</v>
      </c>
      <c r="G4" s="2" t="s">
        <v>47</v>
      </c>
    </row>
    <row r="5" ht="14.25" customHeight="1">
      <c r="B5" s="3">
        <v>1.0</v>
      </c>
      <c r="C5" s="4" t="s">
        <v>89</v>
      </c>
      <c r="D5" s="4" t="s">
        <v>91</v>
      </c>
      <c r="E5" s="6">
        <v>2600.0</v>
      </c>
      <c r="F5" s="6">
        <f>BURGER!$E5</f>
        <v>2600</v>
      </c>
      <c r="G5" s="4"/>
    </row>
    <row r="6" ht="14.25" customHeight="1">
      <c r="B6" s="3">
        <v>2.0</v>
      </c>
      <c r="C6" s="4" t="s">
        <v>95</v>
      </c>
      <c r="D6" s="4" t="s">
        <v>66</v>
      </c>
      <c r="E6" s="6">
        <v>4500.0</v>
      </c>
      <c r="F6" s="6">
        <f>BURGER!$E6</f>
        <v>4500</v>
      </c>
      <c r="G6" s="4"/>
    </row>
    <row r="7" ht="14.25" customHeight="1">
      <c r="B7" s="3">
        <v>3.0</v>
      </c>
      <c r="C7" s="4" t="s">
        <v>98</v>
      </c>
      <c r="D7" s="4" t="s">
        <v>99</v>
      </c>
      <c r="E7" s="6">
        <v>35000.0</v>
      </c>
      <c r="F7" s="6">
        <f>BURGER!$E7/45</f>
        <v>777.7777778</v>
      </c>
      <c r="G7" s="4" t="s">
        <v>100</v>
      </c>
    </row>
    <row r="8" ht="14.25" customHeight="1">
      <c r="B8" s="3">
        <v>4.0</v>
      </c>
      <c r="C8" s="4" t="s">
        <v>101</v>
      </c>
      <c r="D8" s="4"/>
      <c r="E8" s="6">
        <v>1100.0</v>
      </c>
      <c r="F8" s="6">
        <v>1000.0</v>
      </c>
      <c r="G8" s="4" t="s">
        <v>102</v>
      </c>
      <c r="H8" s="16"/>
    </row>
    <row r="9" ht="14.25" customHeight="1">
      <c r="B9" s="3">
        <v>5.0</v>
      </c>
      <c r="C9" s="4" t="s">
        <v>92</v>
      </c>
      <c r="D9" s="4"/>
      <c r="E9" s="6">
        <v>7000.0</v>
      </c>
      <c r="F9" s="6">
        <f>BURGER!$E9/50</f>
        <v>140</v>
      </c>
      <c r="G9" s="4"/>
    </row>
    <row r="10" ht="14.25" customHeight="1">
      <c r="B10" s="3">
        <v>6.0</v>
      </c>
      <c r="C10" s="4" t="s">
        <v>104</v>
      </c>
      <c r="D10" s="4" t="s">
        <v>106</v>
      </c>
      <c r="E10" s="6">
        <v>23500.0</v>
      </c>
      <c r="F10" s="6">
        <f>BURGER!$E10/125</f>
        <v>188</v>
      </c>
      <c r="G10" s="4"/>
    </row>
    <row r="11" ht="14.25" customHeight="1">
      <c r="B11" s="3">
        <v>6.0</v>
      </c>
      <c r="C11" s="4" t="s">
        <v>108</v>
      </c>
      <c r="D11" s="4" t="s">
        <v>109</v>
      </c>
      <c r="E11" s="6">
        <v>70000.0</v>
      </c>
      <c r="F11" s="6">
        <f>BURGER!$E11/100</f>
        <v>700</v>
      </c>
      <c r="G11" s="4"/>
    </row>
    <row r="12" ht="14.25" customHeight="1">
      <c r="B12" s="3">
        <v>7.0</v>
      </c>
      <c r="C12" s="4" t="s">
        <v>31</v>
      </c>
      <c r="D12" s="4" t="s">
        <v>33</v>
      </c>
      <c r="E12" s="6">
        <v>7000.0</v>
      </c>
      <c r="F12" s="6">
        <f>BURGER!$E12/50</f>
        <v>140</v>
      </c>
      <c r="G12" s="4"/>
    </row>
    <row r="13" ht="14.25" customHeight="1">
      <c r="B13" s="3">
        <v>8.0</v>
      </c>
      <c r="C13" s="4" t="s">
        <v>35</v>
      </c>
      <c r="D13" s="4" t="s">
        <v>36</v>
      </c>
      <c r="E13" s="6">
        <v>23000.0</v>
      </c>
      <c r="F13" s="6">
        <f>E13/150</f>
        <v>153.3333333</v>
      </c>
      <c r="G13" s="4"/>
    </row>
    <row r="14" ht="14.25" customHeight="1">
      <c r="B14" s="4"/>
      <c r="C14" s="4"/>
      <c r="D14" s="4"/>
      <c r="E14" s="6" t="s">
        <v>103</v>
      </c>
      <c r="F14" s="6">
        <f>SUM(F5:F13)</f>
        <v>10199.11111</v>
      </c>
      <c r="G14" s="4"/>
    </row>
    <row r="15" ht="14.25" customHeight="1">
      <c r="B15" s="4"/>
      <c r="C15" s="4"/>
      <c r="D15" s="4"/>
      <c r="E15" s="6" t="s">
        <v>105</v>
      </c>
      <c r="F15" s="6">
        <v>12000.0</v>
      </c>
      <c r="G15" s="4"/>
    </row>
    <row r="16" ht="14.25" customHeight="1">
      <c r="B16" s="4"/>
      <c r="C16" s="4"/>
      <c r="D16" s="4"/>
      <c r="E16" s="6" t="s">
        <v>107</v>
      </c>
      <c r="F16" s="6">
        <f>F15-F14</f>
        <v>1800.888889</v>
      </c>
      <c r="G16" s="4"/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20.0"/>
    <col customWidth="1" min="4" max="4" width="15.0"/>
    <col customWidth="1" min="5" max="5" width="20.14"/>
    <col customWidth="1" min="6" max="6" width="24.86"/>
    <col customWidth="1" min="7" max="7" width="16.71"/>
    <col customWidth="1" min="8" max="8" width="12.29"/>
    <col customWidth="1" min="9" max="26" width="8.71"/>
  </cols>
  <sheetData>
    <row r="1" ht="14.25" customHeight="1"/>
    <row r="2">
      <c r="B2" s="1" t="s">
        <v>116</v>
      </c>
    </row>
    <row r="3" ht="14.25" customHeight="1"/>
    <row r="4" ht="14.25" customHeight="1">
      <c r="B4" s="2" t="s">
        <v>2</v>
      </c>
      <c r="C4" s="2" t="s">
        <v>3</v>
      </c>
      <c r="D4" s="2" t="s">
        <v>4</v>
      </c>
      <c r="E4" s="2" t="s">
        <v>5</v>
      </c>
      <c r="F4" s="2" t="s">
        <v>78</v>
      </c>
      <c r="G4" s="2" t="s">
        <v>47</v>
      </c>
      <c r="H4" s="2" t="s">
        <v>117</v>
      </c>
    </row>
    <row r="5" ht="14.25" customHeight="1">
      <c r="B5" s="3">
        <v>1.0</v>
      </c>
      <c r="C5" s="4" t="s">
        <v>118</v>
      </c>
      <c r="D5" s="4" t="s">
        <v>119</v>
      </c>
      <c r="E5" s="6">
        <v>113000.0</v>
      </c>
      <c r="F5" s="6">
        <f>KENTANG!$E5/2720*120</f>
        <v>4985.294118</v>
      </c>
      <c r="G5" s="4" t="s">
        <v>120</v>
      </c>
      <c r="H5" s="4">
        <f t="shared" ref="H5:H13" si="1">2720/120</f>
        <v>22.66666667</v>
      </c>
    </row>
    <row r="6" ht="14.25" customHeight="1">
      <c r="B6" s="3">
        <v>2.0</v>
      </c>
      <c r="C6" s="4" t="s">
        <v>29</v>
      </c>
      <c r="D6" s="4" t="s">
        <v>30</v>
      </c>
      <c r="E6" s="6">
        <v>37700.0</v>
      </c>
      <c r="F6" s="6">
        <f>KENTANG!$E6/80</f>
        <v>471.25</v>
      </c>
      <c r="G6" s="4"/>
      <c r="H6" s="4">
        <f t="shared" si="1"/>
        <v>22.66666667</v>
      </c>
    </row>
    <row r="7" ht="14.25" customHeight="1">
      <c r="B7" s="3">
        <v>3.0</v>
      </c>
      <c r="C7" s="4" t="s">
        <v>122</v>
      </c>
      <c r="D7" s="4" t="s">
        <v>123</v>
      </c>
      <c r="E7" s="6">
        <v>119800.0</v>
      </c>
      <c r="F7" s="6">
        <f>KENTANG!$E7/200</f>
        <v>599</v>
      </c>
      <c r="G7" s="4"/>
      <c r="H7" s="4">
        <f t="shared" si="1"/>
        <v>22.66666667</v>
      </c>
    </row>
    <row r="8" ht="14.25" customHeight="1">
      <c r="B8" s="3">
        <v>4.0</v>
      </c>
      <c r="C8" s="4" t="s">
        <v>24</v>
      </c>
      <c r="D8" s="4" t="s">
        <v>25</v>
      </c>
      <c r="E8" s="6">
        <v>22500.0</v>
      </c>
      <c r="F8" s="6">
        <f>KENTANG!$E8/125*2</f>
        <v>360</v>
      </c>
      <c r="G8" s="4"/>
      <c r="H8" s="15">
        <f t="shared" si="1"/>
        <v>22.66666667</v>
      </c>
    </row>
    <row r="9" ht="14.25" customHeight="1">
      <c r="B9" s="3">
        <v>5.0</v>
      </c>
      <c r="C9" s="4" t="s">
        <v>31</v>
      </c>
      <c r="D9" s="4" t="s">
        <v>33</v>
      </c>
      <c r="E9" s="6">
        <v>7000.0</v>
      </c>
      <c r="F9" s="6">
        <f>KENTANG!$E9/50</f>
        <v>140</v>
      </c>
      <c r="G9" s="4"/>
      <c r="H9" s="4">
        <f t="shared" si="1"/>
        <v>22.66666667</v>
      </c>
    </row>
    <row r="10" ht="14.25" customHeight="1">
      <c r="B10" s="3">
        <v>6.0</v>
      </c>
      <c r="C10" s="4" t="s">
        <v>35</v>
      </c>
      <c r="D10" s="4" t="s">
        <v>36</v>
      </c>
      <c r="E10" s="6">
        <v>23000.0</v>
      </c>
      <c r="F10" s="6">
        <f>E10/150</f>
        <v>153.3333333</v>
      </c>
      <c r="G10" s="4"/>
      <c r="H10" s="4">
        <f t="shared" si="1"/>
        <v>22.66666667</v>
      </c>
    </row>
    <row r="11" ht="14.25" customHeight="1">
      <c r="B11" s="4"/>
      <c r="C11" s="4"/>
      <c r="D11" s="4"/>
      <c r="E11" s="4" t="s">
        <v>103</v>
      </c>
      <c r="F11" s="6">
        <f>SUM(F5:F10)</f>
        <v>6708.877451</v>
      </c>
      <c r="G11" s="4"/>
      <c r="H11" s="4">
        <f t="shared" si="1"/>
        <v>22.66666667</v>
      </c>
    </row>
    <row r="12" ht="14.25" customHeight="1">
      <c r="B12" s="4"/>
      <c r="C12" s="4"/>
      <c r="D12" s="4"/>
      <c r="E12" s="4" t="s">
        <v>105</v>
      </c>
      <c r="F12" s="6">
        <v>8000.0</v>
      </c>
      <c r="G12" s="4"/>
      <c r="H12" s="4">
        <f t="shared" si="1"/>
        <v>22.66666667</v>
      </c>
    </row>
    <row r="13" ht="14.25" customHeight="1">
      <c r="B13" s="4"/>
      <c r="C13" s="4"/>
      <c r="D13" s="4"/>
      <c r="E13" s="4" t="s">
        <v>107</v>
      </c>
      <c r="F13" s="6">
        <f>F12-F11</f>
        <v>1291.122549</v>
      </c>
      <c r="G13" s="4"/>
      <c r="H13" s="4">
        <f t="shared" si="1"/>
        <v>22.66666667</v>
      </c>
    </row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20.0"/>
    <col customWidth="1" min="4" max="4" width="15.0"/>
    <col customWidth="1" min="5" max="5" width="17.43"/>
    <col customWidth="1" min="6" max="6" width="22.14"/>
    <col customWidth="1" min="7" max="7" width="20.86"/>
    <col customWidth="1" min="8" max="26" width="8.71"/>
  </cols>
  <sheetData>
    <row r="1" ht="14.25" customHeight="1"/>
    <row r="2">
      <c r="B2" s="1" t="s">
        <v>121</v>
      </c>
    </row>
    <row r="3" ht="14.25" customHeight="1"/>
    <row r="4" ht="14.25" customHeight="1">
      <c r="B4" s="2" t="s">
        <v>2</v>
      </c>
      <c r="C4" s="2" t="s">
        <v>3</v>
      </c>
      <c r="D4" s="2" t="s">
        <v>4</v>
      </c>
      <c r="E4" s="2" t="s">
        <v>5</v>
      </c>
      <c r="F4" s="2" t="s">
        <v>124</v>
      </c>
      <c r="G4" s="2" t="s">
        <v>47</v>
      </c>
    </row>
    <row r="5" ht="14.25" customHeight="1">
      <c r="B5" s="3">
        <v>1.0</v>
      </c>
      <c r="C5" s="4" t="s">
        <v>125</v>
      </c>
      <c r="D5" s="4" t="s">
        <v>126</v>
      </c>
      <c r="E5" s="6">
        <v>50000.0</v>
      </c>
      <c r="F5" s="6">
        <f>GEPREK!$E5/25</f>
        <v>2000</v>
      </c>
      <c r="G5" s="15" t="s">
        <v>127</v>
      </c>
    </row>
    <row r="6" ht="14.25" customHeight="1">
      <c r="B6" s="3">
        <v>2.0</v>
      </c>
      <c r="C6" s="4" t="s">
        <v>29</v>
      </c>
      <c r="D6" s="4" t="s">
        <v>30</v>
      </c>
      <c r="E6" s="6">
        <v>37700.0</v>
      </c>
      <c r="F6" s="6">
        <f>GEPREK!$E6/2000*12.22</f>
        <v>230.347</v>
      </c>
      <c r="G6" s="15" t="s">
        <v>128</v>
      </c>
    </row>
    <row r="7" ht="14.25" customHeight="1">
      <c r="B7" s="3">
        <v>3.0</v>
      </c>
      <c r="C7" s="4" t="s">
        <v>129</v>
      </c>
      <c r="D7" s="4" t="s">
        <v>68</v>
      </c>
      <c r="E7" s="6">
        <v>12600.0</v>
      </c>
      <c r="F7" s="6">
        <f>GEPREK!$E7/50</f>
        <v>252</v>
      </c>
      <c r="G7" s="17"/>
    </row>
    <row r="8" ht="14.25" customHeight="1">
      <c r="B8" s="4"/>
      <c r="C8" s="4"/>
      <c r="D8" s="4"/>
      <c r="E8" s="6" t="s">
        <v>130</v>
      </c>
      <c r="F8" s="6">
        <f>SUM(F5:F7)</f>
        <v>2482.347</v>
      </c>
      <c r="G8" s="15"/>
    </row>
    <row r="9" ht="14.25" customHeight="1">
      <c r="B9" s="4"/>
      <c r="C9" s="4"/>
      <c r="D9" s="4"/>
      <c r="E9" s="6" t="s">
        <v>132</v>
      </c>
      <c r="F9" s="6">
        <v>4000.0</v>
      </c>
      <c r="G9" s="15"/>
    </row>
    <row r="10" ht="14.25" customHeight="1">
      <c r="B10" s="4"/>
      <c r="C10" s="4"/>
      <c r="D10" s="4"/>
      <c r="E10" s="6" t="s">
        <v>133</v>
      </c>
      <c r="F10" s="6">
        <f>F9-F8</f>
        <v>1517.653</v>
      </c>
      <c r="G10" s="15"/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20.0"/>
    <col customWidth="1" min="4" max="4" width="15.0"/>
    <col customWidth="1" min="5" max="5" width="17.43"/>
    <col customWidth="1" min="6" max="6" width="22.14"/>
    <col customWidth="1" min="7" max="7" width="20.86"/>
    <col customWidth="1" min="8" max="26" width="8.71"/>
  </cols>
  <sheetData>
    <row r="1" ht="14.25" customHeight="1"/>
    <row r="2">
      <c r="B2" s="1" t="s">
        <v>131</v>
      </c>
    </row>
    <row r="3" ht="14.25" customHeight="1"/>
    <row r="4" ht="14.25" customHeight="1">
      <c r="B4" s="2" t="s">
        <v>2</v>
      </c>
      <c r="C4" s="2" t="s">
        <v>3</v>
      </c>
      <c r="D4" s="2" t="s">
        <v>4</v>
      </c>
      <c r="E4" s="2" t="s">
        <v>5</v>
      </c>
      <c r="F4" s="2" t="s">
        <v>124</v>
      </c>
      <c r="G4" s="2" t="s">
        <v>47</v>
      </c>
    </row>
    <row r="5" ht="14.25" customHeight="1">
      <c r="B5" s="3">
        <v>1.0</v>
      </c>
      <c r="C5" s="4" t="s">
        <v>134</v>
      </c>
      <c r="D5" s="4" t="s">
        <v>126</v>
      </c>
      <c r="E5" s="6">
        <v>36800.0</v>
      </c>
      <c r="F5" s="6">
        <f>BULDAK!$E5/25</f>
        <v>1472</v>
      </c>
      <c r="G5" s="15" t="s">
        <v>127</v>
      </c>
    </row>
    <row r="6" ht="14.25" customHeight="1">
      <c r="B6" s="3">
        <v>2.0</v>
      </c>
      <c r="C6" s="4" t="s">
        <v>129</v>
      </c>
      <c r="D6" s="4" t="s">
        <v>68</v>
      </c>
      <c r="E6" s="6">
        <v>12600.0</v>
      </c>
      <c r="F6" s="6">
        <f>BULDAK!$E6/50</f>
        <v>252</v>
      </c>
      <c r="G6" s="15"/>
    </row>
    <row r="7" ht="14.25" customHeight="1">
      <c r="B7" s="4"/>
      <c r="C7" s="4"/>
      <c r="D7" s="4"/>
      <c r="E7" s="6" t="s">
        <v>130</v>
      </c>
      <c r="F7" s="6">
        <f>SUM(F5:F6)</f>
        <v>1724</v>
      </c>
      <c r="G7" s="15"/>
    </row>
    <row r="8" ht="14.25" customHeight="1">
      <c r="B8" s="4"/>
      <c r="C8" s="4"/>
      <c r="D8" s="4"/>
      <c r="E8" s="6" t="s">
        <v>132</v>
      </c>
      <c r="F8" s="6">
        <v>3000.0</v>
      </c>
      <c r="G8" s="15"/>
    </row>
    <row r="9" ht="14.25" customHeight="1">
      <c r="B9" s="4"/>
      <c r="C9" s="4"/>
      <c r="D9" s="4"/>
      <c r="E9" s="6" t="s">
        <v>133</v>
      </c>
      <c r="F9" s="6">
        <f>F8-F7</f>
        <v>1276</v>
      </c>
      <c r="G9" s="15"/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20.0"/>
    <col customWidth="1" min="4" max="4" width="15.0"/>
    <col customWidth="1" min="5" max="5" width="17.43"/>
    <col customWidth="1" min="6" max="6" width="22.14"/>
    <col customWidth="1" min="7" max="7" width="20.86"/>
    <col customWidth="1" min="8" max="26" width="8.71"/>
  </cols>
  <sheetData>
    <row r="1" ht="14.25" customHeight="1"/>
    <row r="2" ht="14.25" customHeight="1">
      <c r="B2" s="1" t="s">
        <v>135</v>
      </c>
    </row>
    <row r="3" ht="14.25" customHeight="1"/>
    <row r="4" ht="14.25" customHeight="1">
      <c r="B4" s="2" t="s">
        <v>2</v>
      </c>
      <c r="C4" s="2" t="s">
        <v>3</v>
      </c>
      <c r="D4" s="2" t="s">
        <v>4</v>
      </c>
      <c r="E4" s="2" t="s">
        <v>5</v>
      </c>
      <c r="F4" s="2" t="s">
        <v>124</v>
      </c>
      <c r="G4" s="2" t="s">
        <v>117</v>
      </c>
    </row>
    <row r="5" ht="14.25" customHeight="1">
      <c r="B5" s="3">
        <v>1.0</v>
      </c>
      <c r="C5" s="4" t="s">
        <v>136</v>
      </c>
      <c r="D5" s="4" t="s">
        <v>126</v>
      </c>
      <c r="E5" s="6">
        <v>25600.0</v>
      </c>
      <c r="F5" s="6">
        <f>MENTAI!$E5/25</f>
        <v>1024</v>
      </c>
      <c r="G5" s="15" t="s">
        <v>127</v>
      </c>
    </row>
    <row r="6" ht="14.25" customHeight="1">
      <c r="B6" s="3">
        <v>2.0</v>
      </c>
      <c r="C6" s="4" t="s">
        <v>129</v>
      </c>
      <c r="D6" s="4" t="s">
        <v>68</v>
      </c>
      <c r="E6" s="6">
        <v>12600.0</v>
      </c>
      <c r="F6" s="6">
        <f>MENTAI!$E6/50</f>
        <v>252</v>
      </c>
      <c r="G6" s="15"/>
    </row>
    <row r="7" ht="14.25" customHeight="1">
      <c r="B7" s="4"/>
      <c r="C7" s="4"/>
      <c r="D7" s="4"/>
      <c r="E7" s="6" t="s">
        <v>130</v>
      </c>
      <c r="F7" s="6">
        <f>SUM(F5:F6)</f>
        <v>1276</v>
      </c>
      <c r="G7" s="15"/>
    </row>
    <row r="8" ht="14.25" customHeight="1">
      <c r="B8" s="4"/>
      <c r="C8" s="4"/>
      <c r="D8" s="4"/>
      <c r="E8" s="6" t="s">
        <v>132</v>
      </c>
      <c r="F8" s="6">
        <v>2000.0</v>
      </c>
      <c r="G8" s="15"/>
    </row>
    <row r="9" ht="14.25" customHeight="1">
      <c r="B9" s="4"/>
      <c r="C9" s="4"/>
      <c r="D9" s="4"/>
      <c r="E9" s="6" t="s">
        <v>133</v>
      </c>
      <c r="F9" s="6">
        <f>F8-F7</f>
        <v>724</v>
      </c>
      <c r="G9" s="15"/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20.0"/>
    <col customWidth="1" min="4" max="4" width="15.0"/>
    <col customWidth="1" min="5" max="5" width="17.43"/>
    <col customWidth="1" min="6" max="6" width="22.14"/>
    <col customWidth="1" min="7" max="7" width="20.86"/>
    <col customWidth="1" min="8" max="26" width="8.71"/>
  </cols>
  <sheetData>
    <row r="1" ht="14.25" customHeight="1"/>
    <row r="2">
      <c r="B2" s="1" t="s">
        <v>137</v>
      </c>
    </row>
    <row r="3" ht="14.25" customHeight="1"/>
    <row r="4" ht="14.25" customHeight="1">
      <c r="B4" s="2" t="s">
        <v>2</v>
      </c>
      <c r="C4" s="2" t="s">
        <v>3</v>
      </c>
      <c r="D4" s="2" t="s">
        <v>4</v>
      </c>
      <c r="E4" s="2" t="s">
        <v>5</v>
      </c>
      <c r="F4" s="2" t="s">
        <v>124</v>
      </c>
      <c r="G4" s="2" t="s">
        <v>117</v>
      </c>
    </row>
    <row r="5" ht="14.25" customHeight="1">
      <c r="B5" s="3">
        <v>1.0</v>
      </c>
      <c r="C5" s="4" t="s">
        <v>138</v>
      </c>
      <c r="D5" s="4" t="s">
        <v>126</v>
      </c>
      <c r="E5" s="6">
        <v>24500.0</v>
      </c>
      <c r="F5" s="6">
        <f>SADAS!$E5/25</f>
        <v>980</v>
      </c>
      <c r="G5" s="15" t="s">
        <v>127</v>
      </c>
    </row>
    <row r="6" ht="14.25" customHeight="1">
      <c r="B6" s="3">
        <v>2.0</v>
      </c>
      <c r="C6" s="4" t="s">
        <v>129</v>
      </c>
      <c r="D6" s="4" t="s">
        <v>141</v>
      </c>
      <c r="E6" s="6">
        <v>12600.0</v>
      </c>
      <c r="F6" s="6">
        <f>SADAS!$E6/50</f>
        <v>252</v>
      </c>
      <c r="G6" s="15"/>
    </row>
    <row r="7" ht="14.25" customHeight="1">
      <c r="B7" s="4"/>
      <c r="C7" s="4"/>
      <c r="D7" s="4"/>
      <c r="E7" s="6" t="s">
        <v>130</v>
      </c>
      <c r="F7" s="6">
        <f>SUM(F5:F6)</f>
        <v>1232</v>
      </c>
      <c r="G7" s="15"/>
    </row>
    <row r="8" ht="14.25" customHeight="1">
      <c r="B8" s="4"/>
      <c r="C8" s="4"/>
      <c r="D8" s="4"/>
      <c r="E8" s="6" t="s">
        <v>132</v>
      </c>
      <c r="F8" s="6">
        <v>3000.0</v>
      </c>
      <c r="G8" s="15"/>
    </row>
    <row r="9" ht="14.25" customHeight="1">
      <c r="B9" s="4"/>
      <c r="C9" s="4"/>
      <c r="D9" s="4"/>
      <c r="E9" s="6" t="s">
        <v>133</v>
      </c>
      <c r="F9" s="6">
        <f>F8-F7</f>
        <v>1768</v>
      </c>
      <c r="G9" s="15"/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20.0"/>
    <col customWidth="1" min="4" max="4" width="15.0"/>
    <col customWidth="1" min="5" max="5" width="17.43"/>
    <col customWidth="1" min="6" max="6" width="22.14"/>
    <col customWidth="1" min="7" max="7" width="20.86"/>
    <col customWidth="1" min="8" max="26" width="8.71"/>
  </cols>
  <sheetData>
    <row r="1" ht="14.25" customHeight="1"/>
    <row r="2" ht="14.25" customHeight="1">
      <c r="B2" s="1" t="s">
        <v>140</v>
      </c>
    </row>
    <row r="3" ht="14.25" customHeight="1"/>
    <row r="4" ht="14.25" customHeight="1">
      <c r="B4" s="2" t="s">
        <v>2</v>
      </c>
      <c r="C4" s="2" t="s">
        <v>3</v>
      </c>
      <c r="D4" s="2" t="s">
        <v>4</v>
      </c>
      <c r="E4" s="2" t="s">
        <v>5</v>
      </c>
      <c r="F4" s="2" t="s">
        <v>124</v>
      </c>
      <c r="G4" s="2" t="s">
        <v>47</v>
      </c>
    </row>
    <row r="5" ht="14.25" customHeight="1">
      <c r="B5" s="3">
        <v>1.0</v>
      </c>
      <c r="C5" s="4" t="s">
        <v>143</v>
      </c>
      <c r="D5" s="4" t="s">
        <v>126</v>
      </c>
      <c r="E5" s="6">
        <v>50500.0</v>
      </c>
      <c r="F5" s="6">
        <f>'SAMBAL HITAM'!$E5/25</f>
        <v>2020</v>
      </c>
      <c r="G5" s="15" t="s">
        <v>127</v>
      </c>
    </row>
    <row r="6" ht="14.25" customHeight="1">
      <c r="B6" s="3">
        <v>2.0</v>
      </c>
      <c r="C6" s="4" t="s">
        <v>129</v>
      </c>
      <c r="D6" s="4" t="s">
        <v>68</v>
      </c>
      <c r="E6" s="6">
        <v>12600.0</v>
      </c>
      <c r="F6" s="6">
        <f>'SAMBAL HITAM'!$E6/50</f>
        <v>252</v>
      </c>
      <c r="G6" s="15"/>
    </row>
    <row r="7" ht="14.25" customHeight="1">
      <c r="B7" s="4"/>
      <c r="C7" s="4"/>
      <c r="D7" s="4"/>
      <c r="E7" s="6" t="s">
        <v>130</v>
      </c>
      <c r="F7" s="6">
        <f>SUM(F5:F6)</f>
        <v>2272</v>
      </c>
      <c r="G7" s="15"/>
    </row>
    <row r="8" ht="14.25" customHeight="1">
      <c r="B8" s="4"/>
      <c r="C8" s="4"/>
      <c r="D8" s="4"/>
      <c r="E8" s="6" t="s">
        <v>132</v>
      </c>
      <c r="F8" s="6">
        <v>4000.0</v>
      </c>
      <c r="G8" s="15"/>
    </row>
    <row r="9" ht="14.25" customHeight="1">
      <c r="B9" s="4"/>
      <c r="C9" s="4"/>
      <c r="D9" s="4"/>
      <c r="E9" s="6" t="s">
        <v>133</v>
      </c>
      <c r="F9" s="6">
        <f>F8-F7</f>
        <v>1728</v>
      </c>
      <c r="G9" s="15"/>
    </row>
    <row r="10" ht="14.25" customHeight="1">
      <c r="B10" s="4"/>
      <c r="C10" s="4"/>
      <c r="D10" s="4"/>
      <c r="E10" s="4" t="s">
        <v>145</v>
      </c>
      <c r="F10" s="15"/>
      <c r="G10" s="4"/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20.0"/>
    <col customWidth="1" min="4" max="4" width="15.0"/>
    <col customWidth="1" min="5" max="5" width="17.43"/>
    <col customWidth="1" min="6" max="6" width="22.14"/>
    <col customWidth="1" min="7" max="7" width="20.86"/>
    <col customWidth="1" min="8" max="26" width="8.71"/>
  </cols>
  <sheetData>
    <row r="1" ht="14.25" customHeight="1"/>
    <row r="2" ht="14.25" customHeight="1">
      <c r="B2" s="1" t="s">
        <v>139</v>
      </c>
    </row>
    <row r="3" ht="14.25" customHeight="1"/>
    <row r="4" ht="14.25" customHeight="1">
      <c r="B4" s="2" t="s">
        <v>2</v>
      </c>
      <c r="C4" s="2" t="s">
        <v>3</v>
      </c>
      <c r="D4" s="2" t="s">
        <v>4</v>
      </c>
      <c r="E4" s="2" t="s">
        <v>5</v>
      </c>
      <c r="F4" s="2" t="s">
        <v>124</v>
      </c>
      <c r="G4" s="2" t="s">
        <v>47</v>
      </c>
    </row>
    <row r="5" ht="14.25" customHeight="1">
      <c r="B5" s="3">
        <v>1.0</v>
      </c>
      <c r="C5" s="4" t="s">
        <v>142</v>
      </c>
      <c r="D5" s="4" t="s">
        <v>126</v>
      </c>
      <c r="E5" s="6">
        <v>50000.0</v>
      </c>
      <c r="F5" s="6">
        <f>'SAMBAL IJO'!$E5/25</f>
        <v>2000</v>
      </c>
      <c r="G5" s="15" t="s">
        <v>127</v>
      </c>
    </row>
    <row r="6" ht="14.25" customHeight="1">
      <c r="B6" s="3">
        <v>2.0</v>
      </c>
      <c r="C6" s="4" t="s">
        <v>29</v>
      </c>
      <c r="D6" s="4" t="s">
        <v>30</v>
      </c>
      <c r="E6" s="6">
        <v>37000.0</v>
      </c>
      <c r="F6" s="6">
        <f>'SAMBAL IJO'!$E6/2000*12.22</f>
        <v>226.07</v>
      </c>
      <c r="G6" s="15" t="s">
        <v>128</v>
      </c>
    </row>
    <row r="7" ht="14.25" customHeight="1">
      <c r="B7" s="3">
        <v>3.0</v>
      </c>
      <c r="C7" s="4" t="s">
        <v>129</v>
      </c>
      <c r="D7" s="4" t="s">
        <v>68</v>
      </c>
      <c r="E7" s="6">
        <v>12600.0</v>
      </c>
      <c r="F7" s="6">
        <f>'SAMBAL IJO'!$E7/50</f>
        <v>252</v>
      </c>
      <c r="G7" s="15"/>
    </row>
    <row r="8" ht="14.25" customHeight="1">
      <c r="B8" s="4"/>
      <c r="C8" s="4"/>
      <c r="D8" s="4"/>
      <c r="E8" s="6" t="s">
        <v>130</v>
      </c>
      <c r="F8" s="6">
        <f>SUM(F5:F7)</f>
        <v>2478.07</v>
      </c>
      <c r="G8" s="15"/>
    </row>
    <row r="9" ht="14.25" customHeight="1">
      <c r="B9" s="4"/>
      <c r="C9" s="4"/>
      <c r="D9" s="4"/>
      <c r="E9" s="6" t="s">
        <v>132</v>
      </c>
      <c r="F9" s="6">
        <v>4000.0</v>
      </c>
      <c r="G9" s="15"/>
    </row>
    <row r="10" ht="14.25" customHeight="1">
      <c r="B10" s="4"/>
      <c r="C10" s="4"/>
      <c r="D10" s="4"/>
      <c r="E10" s="6" t="s">
        <v>133</v>
      </c>
      <c r="F10" s="6">
        <f>F9-F8</f>
        <v>1521.93</v>
      </c>
      <c r="G10" s="15"/>
    </row>
    <row r="11" ht="14.25" customHeight="1"/>
    <row r="12" ht="13.5" customHeight="1"/>
    <row r="13" ht="14.25" customHeight="1"/>
    <row r="14" ht="14.25" customHeight="1">
      <c r="A14" s="12" t="s">
        <v>144</v>
      </c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23.14"/>
    <col customWidth="1" min="4" max="4" width="15.43"/>
    <col customWidth="1" min="5" max="6" width="20.14"/>
    <col customWidth="1" min="7" max="26" width="8.71"/>
  </cols>
  <sheetData>
    <row r="1" ht="14.25" customHeight="1"/>
    <row r="2" ht="14.25" customHeight="1">
      <c r="B2" s="1" t="s">
        <v>146</v>
      </c>
    </row>
    <row r="3" ht="14.25" customHeight="1"/>
    <row r="4" ht="14.25" customHeight="1">
      <c r="B4" s="2" t="s">
        <v>2</v>
      </c>
      <c r="C4" s="2" t="s">
        <v>3</v>
      </c>
      <c r="D4" s="2" t="s">
        <v>4</v>
      </c>
      <c r="E4" s="2" t="s">
        <v>5</v>
      </c>
      <c r="F4" s="18" t="s">
        <v>147</v>
      </c>
    </row>
    <row r="5" ht="14.25" customHeight="1">
      <c r="B5" s="3">
        <v>1.0</v>
      </c>
      <c r="C5" s="4" t="s">
        <v>148</v>
      </c>
      <c r="D5" s="4" t="s">
        <v>149</v>
      </c>
      <c r="E5" s="6">
        <v>4500.0</v>
      </c>
      <c r="F5" s="6">
        <f>KATSU!$E5</f>
        <v>4500</v>
      </c>
    </row>
    <row r="6" ht="14.25" customHeight="1">
      <c r="B6" s="3">
        <v>2.0</v>
      </c>
      <c r="C6" s="4" t="s">
        <v>29</v>
      </c>
      <c r="D6" s="4" t="s">
        <v>150</v>
      </c>
      <c r="E6" s="6">
        <v>37700.0</v>
      </c>
      <c r="F6" s="6">
        <f>KATSU!$E6*(22/2000)</f>
        <v>414.7</v>
      </c>
    </row>
    <row r="7" ht="14.25" customHeight="1">
      <c r="B7" s="3">
        <v>3.0</v>
      </c>
      <c r="C7" s="4" t="s">
        <v>151</v>
      </c>
      <c r="D7" s="4" t="s">
        <v>152</v>
      </c>
      <c r="E7" s="6">
        <v>23000.0</v>
      </c>
      <c r="F7" s="6">
        <f>KATSU!$E7/153</f>
        <v>150.3267974</v>
      </c>
    </row>
    <row r="8" ht="14.25" customHeight="1">
      <c r="B8" s="3">
        <v>6.0</v>
      </c>
      <c r="C8" s="4" t="s">
        <v>153</v>
      </c>
      <c r="D8" s="4" t="s">
        <v>154</v>
      </c>
      <c r="E8" s="6">
        <v>23500.0</v>
      </c>
      <c r="F8" s="6">
        <f>KATSU!$E8/125*2</f>
        <v>376</v>
      </c>
    </row>
    <row r="9" ht="14.25" customHeight="1">
      <c r="B9" s="3">
        <v>10.0</v>
      </c>
      <c r="C9" s="4" t="s">
        <v>156</v>
      </c>
      <c r="D9" s="4" t="s">
        <v>81</v>
      </c>
      <c r="E9" s="6">
        <v>7000.0</v>
      </c>
      <c r="F9" s="6">
        <f>KATSU!$E9/50</f>
        <v>140</v>
      </c>
    </row>
    <row r="10" ht="14.25" customHeight="1">
      <c r="B10" s="3">
        <v>11.0</v>
      </c>
      <c r="C10" s="4" t="s">
        <v>158</v>
      </c>
      <c r="D10" s="4" t="s">
        <v>159</v>
      </c>
      <c r="E10" s="6">
        <v>23500.0</v>
      </c>
      <c r="F10" s="6">
        <f>KATSU!$E10/100</f>
        <v>235</v>
      </c>
    </row>
    <row r="11" ht="14.25" customHeight="1">
      <c r="B11" s="4"/>
      <c r="C11" s="4"/>
      <c r="D11" s="4"/>
      <c r="E11" s="4" t="s">
        <v>103</v>
      </c>
      <c r="F11" s="6">
        <f>SUM(F5:F10)</f>
        <v>5816.026797</v>
      </c>
    </row>
    <row r="12" ht="14.25" customHeight="1">
      <c r="B12" s="4"/>
      <c r="C12" s="4"/>
      <c r="D12" s="4"/>
      <c r="E12" s="4" t="s">
        <v>105</v>
      </c>
      <c r="F12" s="6">
        <v>8000.0</v>
      </c>
    </row>
    <row r="13" ht="14.25" customHeight="1">
      <c r="B13" s="4"/>
      <c r="C13" s="4"/>
      <c r="D13" s="4"/>
      <c r="E13" s="4" t="s">
        <v>107</v>
      </c>
      <c r="F13" s="6">
        <f>F12-F11</f>
        <v>2183.973203</v>
      </c>
    </row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23.14"/>
    <col customWidth="1" min="4" max="4" width="15.43"/>
    <col customWidth="1" min="5" max="6" width="20.14"/>
    <col customWidth="1" min="7" max="26" width="8.71"/>
  </cols>
  <sheetData>
    <row r="1" ht="14.25" customHeight="1"/>
    <row r="2" ht="14.25" customHeight="1"/>
    <row r="3">
      <c r="B3" s="1" t="s">
        <v>155</v>
      </c>
    </row>
    <row r="4" ht="14.25" customHeight="1"/>
    <row r="5" ht="14.25" customHeight="1">
      <c r="B5" s="2" t="s">
        <v>2</v>
      </c>
      <c r="C5" s="2" t="s">
        <v>3</v>
      </c>
      <c r="D5" s="2" t="s">
        <v>4</v>
      </c>
      <c r="E5" s="2" t="s">
        <v>5</v>
      </c>
      <c r="F5" s="18" t="s">
        <v>147</v>
      </c>
    </row>
    <row r="6" ht="14.25" customHeight="1">
      <c r="B6" s="3">
        <v>1.0</v>
      </c>
      <c r="C6" s="4" t="s">
        <v>157</v>
      </c>
      <c r="D6" s="4" t="s">
        <v>87</v>
      </c>
      <c r="E6" s="6">
        <v>5845.0</v>
      </c>
      <c r="F6" s="6">
        <f>'RICE BOWL 650ML'!$E6</f>
        <v>5845</v>
      </c>
    </row>
    <row r="7" ht="14.25" customHeight="1">
      <c r="B7" s="3">
        <v>2.0</v>
      </c>
      <c r="C7" s="4" t="s">
        <v>160</v>
      </c>
      <c r="D7" s="4" t="s">
        <v>162</v>
      </c>
      <c r="E7" s="6">
        <v>1502.0</v>
      </c>
      <c r="F7" s="6">
        <f>'RICE BOWL 650ML'!$E7</f>
        <v>1502</v>
      </c>
    </row>
    <row r="8" ht="14.25" customHeight="1">
      <c r="B8" s="3">
        <v>3.0</v>
      </c>
      <c r="C8" s="4" t="s">
        <v>125</v>
      </c>
      <c r="D8" s="4" t="s">
        <v>165</v>
      </c>
      <c r="E8" s="6">
        <v>3000.0</v>
      </c>
      <c r="F8" s="6">
        <f>'RICE BOWL 650ML'!$E8/35*30</f>
        <v>2571.428571</v>
      </c>
    </row>
    <row r="9" ht="14.25" customHeight="1">
      <c r="B9" s="3">
        <v>4.0</v>
      </c>
      <c r="C9" s="4" t="s">
        <v>170</v>
      </c>
      <c r="D9" s="4" t="s">
        <v>81</v>
      </c>
      <c r="E9" s="6">
        <v>6000.0</v>
      </c>
      <c r="F9" s="6">
        <f>'RICE BOWL 650ML'!$E9/25</f>
        <v>240</v>
      </c>
    </row>
    <row r="10" ht="14.25" customHeight="1">
      <c r="B10" s="3">
        <v>5.0</v>
      </c>
      <c r="C10" s="4" t="s">
        <v>173</v>
      </c>
      <c r="D10" s="4" t="s">
        <v>81</v>
      </c>
      <c r="E10" s="6">
        <v>7000.0</v>
      </c>
      <c r="F10" s="6">
        <f>'RICE BOWL 650ML'!$E10/50</f>
        <v>140</v>
      </c>
    </row>
    <row r="11" ht="14.25" customHeight="1">
      <c r="B11" s="3">
        <v>6.0</v>
      </c>
      <c r="C11" s="4" t="s">
        <v>178</v>
      </c>
      <c r="D11" s="4" t="s">
        <v>81</v>
      </c>
      <c r="E11" s="6">
        <v>41250.0</v>
      </c>
      <c r="F11" s="6">
        <f>'RICE BOWL 650ML'!$E11/25</f>
        <v>1650</v>
      </c>
    </row>
    <row r="12" ht="14.25" customHeight="1">
      <c r="B12" s="3">
        <v>7.0</v>
      </c>
      <c r="C12" s="4" t="s">
        <v>179</v>
      </c>
      <c r="D12" s="4" t="s">
        <v>180</v>
      </c>
      <c r="E12" s="6">
        <v>8000.0</v>
      </c>
      <c r="F12" s="6">
        <v>375.0</v>
      </c>
    </row>
    <row r="13" ht="14.25" customHeight="1">
      <c r="B13" s="4"/>
      <c r="C13" s="4"/>
      <c r="D13" s="4"/>
      <c r="E13" s="4" t="s">
        <v>103</v>
      </c>
      <c r="F13" s="6">
        <f>SUM(F6:F12)</f>
        <v>12323.42857</v>
      </c>
    </row>
    <row r="14" ht="14.25" customHeight="1">
      <c r="B14" s="4"/>
      <c r="C14" s="4"/>
      <c r="D14" s="4"/>
      <c r="E14" s="4" t="s">
        <v>105</v>
      </c>
      <c r="F14" s="6">
        <v>15000.0</v>
      </c>
    </row>
    <row r="15" ht="14.25" customHeight="1">
      <c r="B15" s="4"/>
      <c r="C15" s="4"/>
      <c r="D15" s="4"/>
      <c r="E15" s="4" t="s">
        <v>107</v>
      </c>
      <c r="F15" s="6">
        <f>F14-F13</f>
        <v>2676.571429</v>
      </c>
    </row>
    <row r="16" ht="14.25" customHeight="1"/>
    <row r="17">
      <c r="B17" s="1" t="s">
        <v>182</v>
      </c>
    </row>
    <row r="18" ht="14.25" customHeight="1"/>
    <row r="19" ht="14.25" customHeight="1">
      <c r="B19" s="2" t="s">
        <v>2</v>
      </c>
      <c r="C19" s="2" t="s">
        <v>3</v>
      </c>
      <c r="D19" s="2" t="s">
        <v>4</v>
      </c>
      <c r="E19" s="2" t="s">
        <v>5</v>
      </c>
      <c r="F19" s="18" t="s">
        <v>147</v>
      </c>
    </row>
    <row r="20" ht="14.25" customHeight="1">
      <c r="B20" s="3">
        <v>1.0</v>
      </c>
      <c r="C20" s="4" t="s">
        <v>157</v>
      </c>
      <c r="D20" s="4" t="s">
        <v>87</v>
      </c>
      <c r="E20" s="6">
        <v>5845.0</v>
      </c>
      <c r="F20" s="6">
        <f>'RICE BOWL 650ML'!$E20</f>
        <v>5845</v>
      </c>
    </row>
    <row r="21" ht="14.25" customHeight="1">
      <c r="B21" s="3">
        <v>2.0</v>
      </c>
      <c r="C21" s="4" t="s">
        <v>160</v>
      </c>
      <c r="D21" s="4" t="s">
        <v>162</v>
      </c>
      <c r="E21" s="6">
        <v>1502.0</v>
      </c>
      <c r="F21" s="6">
        <f>'RICE BOWL 650ML'!$E21</f>
        <v>1502</v>
      </c>
    </row>
    <row r="22" ht="14.25" customHeight="1">
      <c r="B22" s="3">
        <v>3.0</v>
      </c>
      <c r="C22" s="4" t="s">
        <v>184</v>
      </c>
      <c r="D22" s="4" t="s">
        <v>185</v>
      </c>
      <c r="E22" s="6">
        <v>800.0</v>
      </c>
      <c r="F22" s="6">
        <f>'RICE BOWL 650ML'!$E22*2</f>
        <v>1600</v>
      </c>
    </row>
    <row r="23" ht="14.25" customHeight="1">
      <c r="B23" s="3">
        <v>4.0</v>
      </c>
      <c r="C23" s="4" t="s">
        <v>186</v>
      </c>
      <c r="D23" s="4" t="s">
        <v>185</v>
      </c>
      <c r="E23" s="6">
        <v>22500.0</v>
      </c>
      <c r="F23" s="6">
        <f>'RICE BOWL 650ML'!$E23/125*2</f>
        <v>360</v>
      </c>
    </row>
    <row r="24" ht="14.25" customHeight="1">
      <c r="B24" s="3">
        <v>5.0</v>
      </c>
      <c r="C24" s="4" t="s">
        <v>170</v>
      </c>
      <c r="D24" s="4" t="s">
        <v>81</v>
      </c>
      <c r="E24" s="6">
        <v>6000.0</v>
      </c>
      <c r="F24" s="6">
        <f>'RICE BOWL 650ML'!$E24/25</f>
        <v>240</v>
      </c>
    </row>
    <row r="25" ht="14.25" customHeight="1">
      <c r="B25" s="3">
        <v>6.0</v>
      </c>
      <c r="C25" s="4" t="s">
        <v>173</v>
      </c>
      <c r="D25" s="4" t="s">
        <v>81</v>
      </c>
      <c r="E25" s="6">
        <v>7000.0</v>
      </c>
      <c r="F25" s="6">
        <f>'RICE BOWL 650ML'!$E25/50</f>
        <v>140</v>
      </c>
    </row>
    <row r="26" ht="14.25" customHeight="1">
      <c r="B26" s="3">
        <v>7.0</v>
      </c>
      <c r="C26" s="4" t="s">
        <v>178</v>
      </c>
      <c r="D26" s="4" t="s">
        <v>81</v>
      </c>
      <c r="E26" s="6">
        <v>41250.0</v>
      </c>
      <c r="F26" s="6">
        <f>'RICE BOWL 650ML'!$E26/25</f>
        <v>1650</v>
      </c>
    </row>
    <row r="27" ht="14.25" customHeight="1">
      <c r="B27" s="3">
        <v>8.0</v>
      </c>
      <c r="C27" s="4" t="s">
        <v>179</v>
      </c>
      <c r="D27" s="4" t="s">
        <v>180</v>
      </c>
      <c r="E27" s="6">
        <v>8000.0</v>
      </c>
      <c r="F27" s="6">
        <v>375.0</v>
      </c>
    </row>
    <row r="28" ht="14.25" customHeight="1">
      <c r="B28" s="3">
        <v>9.0</v>
      </c>
      <c r="C28" s="4" t="s">
        <v>110</v>
      </c>
      <c r="D28" s="4" t="s">
        <v>188</v>
      </c>
      <c r="E28" s="6">
        <v>8000.0</v>
      </c>
      <c r="F28" s="6">
        <f>'RICE BOWL 650ML'!$E28/25*0.03</f>
        <v>9.6</v>
      </c>
    </row>
    <row r="29" ht="14.25" customHeight="1">
      <c r="B29" s="4"/>
      <c r="C29" s="4"/>
      <c r="D29" s="4"/>
      <c r="E29" s="4" t="s">
        <v>103</v>
      </c>
      <c r="F29" s="6">
        <f>SUM(F20:F28)</f>
        <v>11721.6</v>
      </c>
    </row>
    <row r="30" ht="14.25" customHeight="1">
      <c r="B30" s="4"/>
      <c r="C30" s="4"/>
      <c r="D30" s="4"/>
      <c r="E30" s="4" t="s">
        <v>105</v>
      </c>
      <c r="F30" s="6">
        <v>15000.0</v>
      </c>
    </row>
    <row r="31" ht="14.25" customHeight="1">
      <c r="B31" s="4"/>
      <c r="C31" s="4"/>
      <c r="D31" s="4"/>
      <c r="E31" s="4" t="s">
        <v>107</v>
      </c>
      <c r="F31" s="6">
        <f>F30-F29</f>
        <v>3278.4</v>
      </c>
    </row>
    <row r="32" ht="14.25" customHeight="1"/>
    <row r="33" ht="14.25" customHeight="1">
      <c r="B33" s="1" t="s">
        <v>189</v>
      </c>
    </row>
    <row r="34" ht="14.25" customHeight="1"/>
    <row r="35" ht="14.25" customHeight="1">
      <c r="B35" s="3" t="s">
        <v>2</v>
      </c>
      <c r="C35" s="3" t="s">
        <v>3</v>
      </c>
      <c r="D35" s="3" t="s">
        <v>4</v>
      </c>
      <c r="E35" s="3" t="s">
        <v>5</v>
      </c>
      <c r="F35" s="23" t="s">
        <v>147</v>
      </c>
    </row>
    <row r="36" ht="14.25" customHeight="1">
      <c r="B36" s="3">
        <v>1.0</v>
      </c>
      <c r="C36" s="4" t="s">
        <v>148</v>
      </c>
      <c r="D36" s="4" t="s">
        <v>149</v>
      </c>
      <c r="E36" s="6">
        <v>4500.0</v>
      </c>
      <c r="F36" s="6">
        <f>'RICE BOWL 650ML'!$E36</f>
        <v>4500</v>
      </c>
    </row>
    <row r="37" ht="14.25" customHeight="1">
      <c r="B37" s="3">
        <v>2.0</v>
      </c>
      <c r="C37" s="4" t="s">
        <v>29</v>
      </c>
      <c r="D37" s="4" t="s">
        <v>150</v>
      </c>
      <c r="E37" s="6">
        <v>37700.0</v>
      </c>
      <c r="F37" s="6">
        <f>'RICE BOWL 650ML'!$E37*(22/2000)</f>
        <v>414.7</v>
      </c>
    </row>
    <row r="38" ht="14.25" customHeight="1">
      <c r="B38" s="3">
        <v>3.0</v>
      </c>
      <c r="C38" s="4" t="s">
        <v>151</v>
      </c>
      <c r="D38" s="4" t="s">
        <v>152</v>
      </c>
      <c r="E38" s="6">
        <v>23000.0</v>
      </c>
      <c r="F38" s="6">
        <f>'RICE BOWL 650ML'!$E38/153</f>
        <v>150.3267974</v>
      </c>
    </row>
    <row r="39" ht="14.25" customHeight="1">
      <c r="B39" s="3">
        <v>4.0</v>
      </c>
      <c r="C39" s="4" t="s">
        <v>160</v>
      </c>
      <c r="D39" s="4" t="s">
        <v>191</v>
      </c>
      <c r="E39" s="6">
        <v>1502.0</v>
      </c>
      <c r="F39" s="6">
        <f>'RICE BOWL 650ML'!$E39*(180/160)</f>
        <v>1689.75</v>
      </c>
    </row>
    <row r="40" ht="14.25" customHeight="1">
      <c r="B40" s="3">
        <v>5.0</v>
      </c>
      <c r="C40" s="4" t="s">
        <v>136</v>
      </c>
      <c r="D40" s="4" t="s">
        <v>192</v>
      </c>
      <c r="E40" s="6">
        <v>25600.0</v>
      </c>
      <c r="F40" s="6">
        <f>'RICE BOWL 650ML'!$E40*(18/500)</f>
        <v>921.6</v>
      </c>
    </row>
    <row r="41" ht="14.25" customHeight="1">
      <c r="B41" s="3">
        <v>6.0</v>
      </c>
      <c r="C41" s="4" t="s">
        <v>153</v>
      </c>
      <c r="D41" s="4" t="s">
        <v>154</v>
      </c>
      <c r="E41" s="6">
        <v>23500.0</v>
      </c>
      <c r="F41" s="6">
        <f>'RICE BOWL 650ML'!$E41/125</f>
        <v>188</v>
      </c>
    </row>
    <row r="42" ht="14.25" customHeight="1">
      <c r="B42" s="3">
        <v>7.0</v>
      </c>
      <c r="C42" s="4" t="s">
        <v>179</v>
      </c>
      <c r="D42" s="4" t="s">
        <v>180</v>
      </c>
      <c r="E42" s="6">
        <v>8000.0</v>
      </c>
      <c r="F42" s="6">
        <f>'RICE BOWL 650ML'!$E42/850*30</f>
        <v>282.3529412</v>
      </c>
    </row>
    <row r="43" ht="14.25" customHeight="1">
      <c r="B43" s="3">
        <v>8.0</v>
      </c>
      <c r="C43" s="4" t="s">
        <v>193</v>
      </c>
      <c r="D43" s="4" t="s">
        <v>194</v>
      </c>
      <c r="E43" s="6">
        <v>5000.0</v>
      </c>
      <c r="F43" s="6">
        <f>('RICE BOWL 650ML'!$E43/200)*10</f>
        <v>250</v>
      </c>
    </row>
    <row r="44" ht="14.25" customHeight="1">
      <c r="B44" s="3">
        <v>9.0</v>
      </c>
      <c r="C44" s="4" t="s">
        <v>196</v>
      </c>
      <c r="D44" s="4" t="s">
        <v>81</v>
      </c>
      <c r="E44" s="6">
        <v>10000.0</v>
      </c>
      <c r="F44" s="6">
        <f>'RICE BOWL 650ML'!$E44/50</f>
        <v>200</v>
      </c>
    </row>
    <row r="45" ht="14.25" customHeight="1">
      <c r="B45" s="3">
        <v>10.0</v>
      </c>
      <c r="C45" s="4" t="s">
        <v>156</v>
      </c>
      <c r="D45" s="4" t="s">
        <v>81</v>
      </c>
      <c r="E45" s="6">
        <v>7000.0</v>
      </c>
      <c r="F45" s="6">
        <f>'RICE BOWL 650ML'!$E45/50</f>
        <v>140</v>
      </c>
    </row>
    <row r="46" ht="14.25" customHeight="1">
      <c r="B46" s="3">
        <v>11.0</v>
      </c>
      <c r="C46" s="4" t="s">
        <v>197</v>
      </c>
      <c r="D46" s="4" t="s">
        <v>81</v>
      </c>
      <c r="E46" s="6">
        <v>41250.0</v>
      </c>
      <c r="F46" s="6">
        <f>'RICE BOWL 650ML'!$E46/25</f>
        <v>1650</v>
      </c>
    </row>
    <row r="47" ht="14.25" customHeight="1">
      <c r="B47" s="4"/>
      <c r="C47" s="4"/>
      <c r="D47" s="4"/>
      <c r="E47" s="4" t="s">
        <v>103</v>
      </c>
      <c r="F47" s="6">
        <f>SUM(F36:F46)</f>
        <v>10386.72974</v>
      </c>
    </row>
    <row r="48" ht="14.25" customHeight="1">
      <c r="B48" s="4"/>
      <c r="C48" s="4"/>
      <c r="D48" s="4"/>
      <c r="E48" s="4" t="s">
        <v>105</v>
      </c>
      <c r="F48" s="6">
        <v>15000.0</v>
      </c>
    </row>
    <row r="49" ht="14.25" customHeight="1">
      <c r="B49" s="4"/>
      <c r="C49" s="4"/>
      <c r="D49" s="4"/>
      <c r="E49" s="4" t="s">
        <v>107</v>
      </c>
      <c r="F49" s="6">
        <f>F48-F47</f>
        <v>4613.270261</v>
      </c>
    </row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3">
    <tablePart r:id="rId5"/>
    <tablePart r:id="rId6"/>
    <tablePart r:id="rId7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20.43"/>
    <col customWidth="1" min="4" max="4" width="15.43"/>
    <col customWidth="1" min="5" max="6" width="20.14"/>
    <col customWidth="1" min="7" max="26" width="8.71"/>
  </cols>
  <sheetData>
    <row r="1" ht="14.25" customHeight="1"/>
    <row r="2" ht="14.25" customHeight="1"/>
    <row r="3">
      <c r="B3" s="1" t="s">
        <v>161</v>
      </c>
    </row>
    <row r="4" ht="14.25" customHeight="1"/>
    <row r="5" ht="14.25" customHeight="1">
      <c r="B5" s="2" t="s">
        <v>2</v>
      </c>
      <c r="C5" s="2" t="s">
        <v>3</v>
      </c>
      <c r="D5" s="2" t="s">
        <v>4</v>
      </c>
      <c r="E5" s="2" t="s">
        <v>5</v>
      </c>
      <c r="F5" s="18" t="s">
        <v>147</v>
      </c>
    </row>
    <row r="6" ht="14.25" customHeight="1">
      <c r="B6" s="3">
        <v>1.0</v>
      </c>
      <c r="C6" s="4" t="s">
        <v>157</v>
      </c>
      <c r="D6" s="4" t="s">
        <v>168</v>
      </c>
      <c r="E6" s="6">
        <v>5845.0</v>
      </c>
      <c r="F6" s="6">
        <f>'RICE BOWL 500ML'!$E6*0.75</f>
        <v>4383.75</v>
      </c>
    </row>
    <row r="7" ht="14.25" customHeight="1">
      <c r="B7" s="3">
        <v>2.0</v>
      </c>
      <c r="C7" s="4" t="s">
        <v>160</v>
      </c>
      <c r="D7" s="4" t="s">
        <v>176</v>
      </c>
      <c r="E7" s="6">
        <v>1502.0</v>
      </c>
      <c r="F7" s="6">
        <f>'RICE BOWL 500ML'!$E7/160*140</f>
        <v>1314.25</v>
      </c>
    </row>
    <row r="8" ht="14.25" customHeight="1">
      <c r="B8" s="3">
        <v>3.0</v>
      </c>
      <c r="C8" s="4" t="s">
        <v>125</v>
      </c>
      <c r="D8" s="4" t="s">
        <v>181</v>
      </c>
      <c r="E8" s="6">
        <v>3000.0</v>
      </c>
      <c r="F8" s="6">
        <f>'RICE BOWL 500ML'!$E8/35*20</f>
        <v>1714.285714</v>
      </c>
    </row>
    <row r="9" ht="14.25" customHeight="1">
      <c r="B9" s="3">
        <v>4.0</v>
      </c>
      <c r="C9" s="4" t="s">
        <v>170</v>
      </c>
      <c r="D9" s="4" t="s">
        <v>81</v>
      </c>
      <c r="E9" s="6">
        <v>6000.0</v>
      </c>
      <c r="F9" s="6">
        <f>'RICE BOWL 500ML'!$E9/25</f>
        <v>240</v>
      </c>
    </row>
    <row r="10" ht="14.25" customHeight="1">
      <c r="B10" s="3">
        <v>5.0</v>
      </c>
      <c r="C10" s="4" t="s">
        <v>173</v>
      </c>
      <c r="D10" s="4" t="s">
        <v>81</v>
      </c>
      <c r="E10" s="6">
        <v>7000.0</v>
      </c>
      <c r="F10" s="6">
        <f>'RICE BOWL 500ML'!$E10/50</f>
        <v>140</v>
      </c>
    </row>
    <row r="11" ht="14.25" customHeight="1">
      <c r="B11" s="3">
        <v>6.0</v>
      </c>
      <c r="C11" s="4" t="s">
        <v>183</v>
      </c>
      <c r="D11" s="4" t="s">
        <v>81</v>
      </c>
      <c r="E11" s="6">
        <v>38750.0</v>
      </c>
      <c r="F11" s="6">
        <f>'RICE BOWL 500ML'!$E11/25</f>
        <v>1550</v>
      </c>
    </row>
    <row r="12" ht="14.25" customHeight="1">
      <c r="B12" s="3">
        <v>7.0</v>
      </c>
      <c r="C12" s="4" t="s">
        <v>179</v>
      </c>
      <c r="D12" s="4" t="s">
        <v>180</v>
      </c>
      <c r="E12" s="6">
        <v>8000.0</v>
      </c>
      <c r="F12" s="6">
        <v>375.0</v>
      </c>
    </row>
    <row r="13" ht="14.25" customHeight="1">
      <c r="B13" s="4"/>
      <c r="C13" s="4"/>
      <c r="D13" s="4"/>
      <c r="E13" s="4" t="s">
        <v>103</v>
      </c>
      <c r="F13" s="6">
        <f>SUM(F6:F12)</f>
        <v>9717.285714</v>
      </c>
    </row>
    <row r="14" ht="14.25" customHeight="1">
      <c r="B14" s="4"/>
      <c r="C14" s="4"/>
      <c r="D14" s="4"/>
      <c r="E14" s="4" t="s">
        <v>105</v>
      </c>
      <c r="F14" s="6">
        <v>12000.0</v>
      </c>
    </row>
    <row r="15" ht="14.25" customHeight="1">
      <c r="B15" s="4"/>
      <c r="C15" s="4"/>
      <c r="D15" s="4"/>
      <c r="E15" s="4" t="s">
        <v>107</v>
      </c>
      <c r="F15" s="6">
        <f>F14-F13</f>
        <v>2282.714286</v>
      </c>
    </row>
    <row r="16" ht="14.25" customHeight="1"/>
    <row r="17">
      <c r="B17" s="1" t="s">
        <v>187</v>
      </c>
    </row>
    <row r="18" ht="14.25" customHeight="1"/>
    <row r="19" ht="14.25" customHeight="1">
      <c r="B19" s="2" t="s">
        <v>2</v>
      </c>
      <c r="C19" s="2" t="s">
        <v>3</v>
      </c>
      <c r="D19" s="2" t="s">
        <v>4</v>
      </c>
      <c r="E19" s="2" t="s">
        <v>5</v>
      </c>
      <c r="F19" s="18" t="s">
        <v>147</v>
      </c>
    </row>
    <row r="20" ht="14.25" customHeight="1">
      <c r="B20" s="3">
        <v>1.0</v>
      </c>
      <c r="C20" s="4" t="s">
        <v>157</v>
      </c>
      <c r="D20" s="4" t="s">
        <v>168</v>
      </c>
      <c r="E20" s="6">
        <v>5845.0</v>
      </c>
      <c r="F20" s="6">
        <f>'RICE BOWL 500ML'!$E20*0.75</f>
        <v>4383.75</v>
      </c>
    </row>
    <row r="21" ht="14.25" customHeight="1">
      <c r="B21" s="3">
        <v>2.0</v>
      </c>
      <c r="C21" s="4" t="s">
        <v>160</v>
      </c>
      <c r="D21" s="4" t="s">
        <v>176</v>
      </c>
      <c r="E21" s="6">
        <v>1502.0</v>
      </c>
      <c r="F21" s="6">
        <f>'RICE BOWL 500ML'!$E21/160*140</f>
        <v>1314.25</v>
      </c>
    </row>
    <row r="22" ht="14.25" customHeight="1">
      <c r="B22" s="3">
        <v>3.0</v>
      </c>
      <c r="C22" s="4" t="s">
        <v>184</v>
      </c>
      <c r="D22" s="4" t="s">
        <v>81</v>
      </c>
      <c r="E22" s="6">
        <v>800.0</v>
      </c>
      <c r="F22" s="6">
        <f>'RICE BOWL 500ML'!$E22</f>
        <v>800</v>
      </c>
    </row>
    <row r="23" ht="14.25" customHeight="1">
      <c r="B23" s="3">
        <v>4.0</v>
      </c>
      <c r="C23" s="4" t="s">
        <v>186</v>
      </c>
      <c r="D23" s="4" t="s">
        <v>190</v>
      </c>
      <c r="E23" s="6">
        <v>22500.0</v>
      </c>
      <c r="F23" s="6">
        <f>'RICE BOWL 500ML'!$E23/125</f>
        <v>180</v>
      </c>
    </row>
    <row r="24" ht="14.25" customHeight="1">
      <c r="B24" s="3">
        <v>5.0</v>
      </c>
      <c r="C24" s="4" t="s">
        <v>170</v>
      </c>
      <c r="D24" s="4" t="s">
        <v>81</v>
      </c>
      <c r="E24" s="6">
        <v>6000.0</v>
      </c>
      <c r="F24" s="6">
        <f>'RICE BOWL 500ML'!$E24/25</f>
        <v>240</v>
      </c>
    </row>
    <row r="25" ht="14.25" customHeight="1">
      <c r="B25" s="3">
        <v>6.0</v>
      </c>
      <c r="C25" s="4" t="s">
        <v>173</v>
      </c>
      <c r="D25" s="4" t="s">
        <v>81</v>
      </c>
      <c r="E25" s="6">
        <v>7000.0</v>
      </c>
      <c r="F25" s="6">
        <f>'RICE BOWL 500ML'!$E25/50</f>
        <v>140</v>
      </c>
    </row>
    <row r="26" ht="14.25" customHeight="1">
      <c r="B26" s="3">
        <v>7.0</v>
      </c>
      <c r="C26" s="4" t="s">
        <v>183</v>
      </c>
      <c r="D26" s="4" t="s">
        <v>81</v>
      </c>
      <c r="E26" s="6">
        <v>38750.0</v>
      </c>
      <c r="F26" s="6">
        <f>'RICE BOWL 500ML'!$E26/25</f>
        <v>1550</v>
      </c>
    </row>
    <row r="27" ht="14.25" customHeight="1">
      <c r="B27" s="3">
        <v>8.0</v>
      </c>
      <c r="C27" s="4" t="s">
        <v>179</v>
      </c>
      <c r="D27" s="4" t="s">
        <v>180</v>
      </c>
      <c r="E27" s="6">
        <v>8000.0</v>
      </c>
      <c r="F27" s="6">
        <v>375.0</v>
      </c>
    </row>
    <row r="28" ht="14.25" customHeight="1">
      <c r="B28" s="3">
        <v>9.0</v>
      </c>
      <c r="C28" s="4" t="s">
        <v>110</v>
      </c>
      <c r="D28" s="4" t="s">
        <v>188</v>
      </c>
      <c r="E28" s="6">
        <v>8000.0</v>
      </c>
      <c r="F28" s="6">
        <f>'RICE BOWL 500ML'!$E28/25*0.03</f>
        <v>9.6</v>
      </c>
    </row>
    <row r="29" ht="14.25" customHeight="1">
      <c r="B29" s="4"/>
      <c r="C29" s="4"/>
      <c r="D29" s="4"/>
      <c r="E29" s="4" t="s">
        <v>103</v>
      </c>
      <c r="F29" s="6">
        <f>SUM(F20:F28)</f>
        <v>8992.6</v>
      </c>
    </row>
    <row r="30" ht="14.25" customHeight="1">
      <c r="B30" s="4"/>
      <c r="C30" s="4"/>
      <c r="D30" s="4"/>
      <c r="E30" s="4" t="s">
        <v>105</v>
      </c>
      <c r="F30" s="6">
        <v>12000.0</v>
      </c>
    </row>
    <row r="31" ht="14.25" customHeight="1">
      <c r="B31" s="4"/>
      <c r="C31" s="4"/>
      <c r="D31" s="4"/>
      <c r="E31" s="4" t="s">
        <v>107</v>
      </c>
      <c r="F31" s="6">
        <f>F30-F29</f>
        <v>3007.4</v>
      </c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  <tableParts count="2">
    <tablePart r:id="rId4"/>
    <tablePart r:id="rId5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9.86"/>
    <col customWidth="1" min="3" max="4" width="14.57"/>
    <col customWidth="1" hidden="1" min="5" max="6" width="14.57"/>
    <col customWidth="1" min="7" max="8" width="14.57"/>
    <col customWidth="1" hidden="1" min="9" max="9" width="14.57"/>
    <col customWidth="1" hidden="1" min="10" max="10" width="18.43"/>
    <col customWidth="1" min="11" max="26" width="8.71"/>
  </cols>
  <sheetData>
    <row r="1" ht="14.25" customHeight="1"/>
    <row r="2" ht="14.25" customHeight="1"/>
    <row r="3" ht="14.25" customHeight="1">
      <c r="B3" s="19" t="s">
        <v>163</v>
      </c>
      <c r="C3" s="19" t="s">
        <v>164</v>
      </c>
      <c r="D3" s="19" t="s">
        <v>166</v>
      </c>
      <c r="E3" s="19" t="s">
        <v>167</v>
      </c>
      <c r="F3" s="19" t="s">
        <v>169</v>
      </c>
      <c r="G3" s="19" t="s">
        <v>171</v>
      </c>
      <c r="H3" s="19" t="s">
        <v>172</v>
      </c>
      <c r="I3" s="19" t="s">
        <v>174</v>
      </c>
      <c r="J3" s="19" t="s">
        <v>175</v>
      </c>
    </row>
    <row r="4" ht="14.25" customHeight="1">
      <c r="B4" s="20" t="s">
        <v>177</v>
      </c>
      <c r="C4" s="21">
        <v>12.0</v>
      </c>
      <c r="D4" s="21">
        <v>30.0</v>
      </c>
      <c r="E4" s="22">
        <f>'AYAM REGULER'!G12</f>
        <v>63710.83333</v>
      </c>
      <c r="F4" s="22">
        <v>89000.0</v>
      </c>
      <c r="G4" s="22">
        <f>'AYAM REGULER'!G14</f>
        <v>25289.16667</v>
      </c>
      <c r="H4" s="22">
        <f t="shared" ref="H4:H19" si="1">C4*D4*G4</f>
        <v>9104100</v>
      </c>
      <c r="I4" s="22">
        <f t="shared" ref="I4:I12" si="2">C4*D4*E4</f>
        <v>22935900</v>
      </c>
      <c r="J4" s="22">
        <f t="shared" ref="J4:J12" si="3">C4*D4*F4</f>
        <v>32040000</v>
      </c>
    </row>
    <row r="5" ht="14.25" customHeight="1">
      <c r="B5" s="20" t="s">
        <v>10</v>
      </c>
      <c r="C5" s="21">
        <v>10.0</v>
      </c>
      <c r="D5" s="21">
        <v>30.0</v>
      </c>
      <c r="E5" s="22">
        <f>NASI!$G5</f>
        <v>1333.333333</v>
      </c>
      <c r="F5" s="22">
        <v>5000.0</v>
      </c>
      <c r="G5" s="22">
        <f>NASI!G10</f>
        <v>2286.666667</v>
      </c>
      <c r="H5" s="22">
        <f t="shared" si="1"/>
        <v>686000</v>
      </c>
      <c r="I5" s="22">
        <f t="shared" si="2"/>
        <v>400000</v>
      </c>
      <c r="J5" s="22">
        <f t="shared" si="3"/>
        <v>1500000</v>
      </c>
    </row>
    <row r="6" ht="14.25" customHeight="1">
      <c r="B6" s="20" t="s">
        <v>62</v>
      </c>
      <c r="C6" s="21">
        <v>10.0</v>
      </c>
      <c r="D6" s="21">
        <v>30.0</v>
      </c>
      <c r="E6" s="22">
        <f>CR!F12</f>
        <v>3526.666667</v>
      </c>
      <c r="F6" s="22">
        <v>4000.0</v>
      </c>
      <c r="G6" s="22">
        <f t="shared" ref="G6:G12" si="4">F6-E6</f>
        <v>473.3333333</v>
      </c>
      <c r="H6" s="22">
        <f t="shared" si="1"/>
        <v>142000</v>
      </c>
      <c r="I6" s="22">
        <f t="shared" si="2"/>
        <v>1058000</v>
      </c>
      <c r="J6" s="22">
        <f t="shared" si="3"/>
        <v>1200000</v>
      </c>
    </row>
    <row r="7" ht="14.25" customHeight="1">
      <c r="B7" s="20" t="s">
        <v>63</v>
      </c>
      <c r="C7" s="21">
        <v>10.0</v>
      </c>
      <c r="D7" s="21">
        <v>30.0</v>
      </c>
      <c r="E7" s="22">
        <f>BKS!F12</f>
        <v>3584.122807</v>
      </c>
      <c r="F7" s="22">
        <v>4000.0</v>
      </c>
      <c r="G7" s="22">
        <f t="shared" si="4"/>
        <v>415.877193</v>
      </c>
      <c r="H7" s="22">
        <f t="shared" si="1"/>
        <v>124763.1579</v>
      </c>
      <c r="I7" s="22">
        <f t="shared" si="2"/>
        <v>1075236.842</v>
      </c>
      <c r="J7" s="22">
        <f t="shared" si="3"/>
        <v>1200000</v>
      </c>
    </row>
    <row r="8" ht="14.25" customHeight="1">
      <c r="B8" s="24" t="s">
        <v>195</v>
      </c>
      <c r="C8" s="21">
        <v>10.0</v>
      </c>
      <c r="D8" s="21">
        <v>30.0</v>
      </c>
      <c r="E8" s="22">
        <f>CS!F12</f>
        <v>3439.047619</v>
      </c>
      <c r="F8" s="22">
        <v>4000.0</v>
      </c>
      <c r="G8" s="22">
        <f t="shared" si="4"/>
        <v>560.952381</v>
      </c>
      <c r="H8" s="22">
        <f t="shared" si="1"/>
        <v>168285.7143</v>
      </c>
      <c r="I8" s="22">
        <f t="shared" si="2"/>
        <v>1031714.286</v>
      </c>
      <c r="J8" s="22">
        <f t="shared" si="3"/>
        <v>1200000</v>
      </c>
    </row>
    <row r="9" ht="14.25" customHeight="1">
      <c r="B9" s="20" t="s">
        <v>79</v>
      </c>
      <c r="C9" s="21">
        <v>10.0</v>
      </c>
      <c r="D9" s="21">
        <v>30.0</v>
      </c>
      <c r="E9" s="22">
        <f>KULIT!$F9</f>
        <v>180</v>
      </c>
      <c r="F9" s="22">
        <v>5000.0</v>
      </c>
      <c r="G9" s="22">
        <f t="shared" si="4"/>
        <v>4820</v>
      </c>
      <c r="H9" s="22">
        <f t="shared" si="1"/>
        <v>1446000</v>
      </c>
      <c r="I9" s="22">
        <f t="shared" si="2"/>
        <v>54000</v>
      </c>
      <c r="J9" s="22">
        <f t="shared" si="3"/>
        <v>1500000</v>
      </c>
    </row>
    <row r="10" ht="14.25" customHeight="1">
      <c r="B10" s="24" t="s">
        <v>77</v>
      </c>
      <c r="C10" s="21">
        <v>0.0</v>
      </c>
      <c r="D10" s="21">
        <v>30.0</v>
      </c>
      <c r="E10" s="22">
        <f>'CHICKEN BUN'!F15</f>
        <v>6717.777778</v>
      </c>
      <c r="F10" s="22">
        <v>10000.0</v>
      </c>
      <c r="G10" s="22">
        <f t="shared" si="4"/>
        <v>3282.222222</v>
      </c>
      <c r="H10" s="22">
        <f t="shared" si="1"/>
        <v>0</v>
      </c>
      <c r="I10" s="22">
        <f t="shared" si="2"/>
        <v>0</v>
      </c>
      <c r="J10" s="22">
        <f t="shared" si="3"/>
        <v>0</v>
      </c>
    </row>
    <row r="11" ht="14.25" customHeight="1">
      <c r="B11" s="24" t="s">
        <v>198</v>
      </c>
      <c r="C11" s="21">
        <v>5.0</v>
      </c>
      <c r="D11" s="21">
        <v>30.0</v>
      </c>
      <c r="E11" s="22">
        <f>'CHICKEN BUN'!F15</f>
        <v>6717.777778</v>
      </c>
      <c r="F11" s="22">
        <v>8000.0</v>
      </c>
      <c r="G11" s="22">
        <f t="shared" si="4"/>
        <v>1282.222222</v>
      </c>
      <c r="H11" s="22">
        <f t="shared" si="1"/>
        <v>192333.3333</v>
      </c>
      <c r="I11" s="22">
        <f t="shared" si="2"/>
        <v>1007666.667</v>
      </c>
      <c r="J11" s="22">
        <f t="shared" si="3"/>
        <v>1200000</v>
      </c>
    </row>
    <row r="12" ht="14.25" customHeight="1">
      <c r="B12" s="24" t="s">
        <v>84</v>
      </c>
      <c r="C12" s="21">
        <v>0.0</v>
      </c>
      <c r="D12" s="21">
        <v>30.0</v>
      </c>
      <c r="E12" s="22">
        <f>BURGER!F14</f>
        <v>10199.11111</v>
      </c>
      <c r="F12" s="22">
        <v>12000.0</v>
      </c>
      <c r="G12" s="22">
        <f t="shared" si="4"/>
        <v>1800.888889</v>
      </c>
      <c r="H12" s="22">
        <f t="shared" si="1"/>
        <v>0</v>
      </c>
      <c r="I12" s="22">
        <f t="shared" si="2"/>
        <v>0</v>
      </c>
      <c r="J12" s="22">
        <f t="shared" si="3"/>
        <v>0</v>
      </c>
    </row>
    <row r="13" ht="14.25" customHeight="1">
      <c r="B13" s="24" t="s">
        <v>199</v>
      </c>
      <c r="C13" s="21">
        <v>10.0</v>
      </c>
      <c r="D13" s="21">
        <v>30.0</v>
      </c>
      <c r="E13" s="22"/>
      <c r="F13" s="22"/>
      <c r="G13" s="22">
        <f>KATSU!$F13</f>
        <v>2183.973203</v>
      </c>
      <c r="H13" s="22">
        <f t="shared" si="1"/>
        <v>655191.9608</v>
      </c>
      <c r="I13" s="22"/>
      <c r="J13" s="22"/>
    </row>
    <row r="14" ht="14.25" customHeight="1">
      <c r="B14" s="20" t="s">
        <v>121</v>
      </c>
      <c r="C14" s="21">
        <v>10.0</v>
      </c>
      <c r="D14" s="21">
        <v>30.0</v>
      </c>
      <c r="E14" s="22">
        <f>GEPREK!F8</f>
        <v>2482.347</v>
      </c>
      <c r="F14" s="22">
        <v>4000.0</v>
      </c>
      <c r="G14" s="22">
        <v>1605.0</v>
      </c>
      <c r="H14" s="22">
        <f t="shared" si="1"/>
        <v>481500</v>
      </c>
      <c r="I14" s="22">
        <f t="shared" ref="I14:I20" si="5">C14*D14*E14</f>
        <v>744704.1</v>
      </c>
      <c r="J14" s="22">
        <f t="shared" ref="J14:J19" si="6">C14*D14*F14</f>
        <v>1200000</v>
      </c>
    </row>
    <row r="15" ht="14.25" customHeight="1">
      <c r="B15" s="24" t="s">
        <v>131</v>
      </c>
      <c r="C15" s="21">
        <v>0.0</v>
      </c>
      <c r="D15" s="21">
        <v>30.0</v>
      </c>
      <c r="E15" s="22">
        <f>BULDAK!F7</f>
        <v>1724</v>
      </c>
      <c r="F15" s="22">
        <v>3000.0</v>
      </c>
      <c r="G15" s="22"/>
      <c r="H15" s="22">
        <f t="shared" si="1"/>
        <v>0</v>
      </c>
      <c r="I15" s="22">
        <f t="shared" si="5"/>
        <v>0</v>
      </c>
      <c r="J15" s="22">
        <f t="shared" si="6"/>
        <v>0</v>
      </c>
    </row>
    <row r="16" ht="14.25" customHeight="1">
      <c r="B16" s="20" t="s">
        <v>135</v>
      </c>
      <c r="C16" s="21">
        <v>10.0</v>
      </c>
      <c r="D16" s="21">
        <v>30.0</v>
      </c>
      <c r="E16" s="22">
        <f>MENTAI!F7</f>
        <v>1276</v>
      </c>
      <c r="F16" s="22">
        <v>2000.0</v>
      </c>
      <c r="G16" s="22">
        <v>724.0</v>
      </c>
      <c r="H16" s="22">
        <f t="shared" si="1"/>
        <v>217200</v>
      </c>
      <c r="I16" s="22">
        <f t="shared" si="5"/>
        <v>382800</v>
      </c>
      <c r="J16" s="22">
        <f t="shared" si="6"/>
        <v>600000</v>
      </c>
    </row>
    <row r="17" ht="14.25" customHeight="1">
      <c r="B17" s="24" t="s">
        <v>137</v>
      </c>
      <c r="C17" s="21">
        <v>0.0</v>
      </c>
      <c r="D17" s="21">
        <v>30.0</v>
      </c>
      <c r="E17" s="22">
        <f>SADAS!F7</f>
        <v>1232</v>
      </c>
      <c r="F17" s="22">
        <v>3000.0</v>
      </c>
      <c r="G17" s="22">
        <f t="shared" ref="G17:G18" si="7">F17-E17</f>
        <v>1768</v>
      </c>
      <c r="H17" s="22">
        <f t="shared" si="1"/>
        <v>0</v>
      </c>
      <c r="I17" s="22">
        <f t="shared" si="5"/>
        <v>0</v>
      </c>
      <c r="J17" s="22">
        <f t="shared" si="6"/>
        <v>0</v>
      </c>
    </row>
    <row r="18" ht="14.25" customHeight="1">
      <c r="B18" s="24" t="s">
        <v>140</v>
      </c>
      <c r="C18" s="21">
        <v>0.0</v>
      </c>
      <c r="D18" s="21">
        <v>30.0</v>
      </c>
      <c r="E18" s="22">
        <f>'SAMBAL HITAM'!F7</f>
        <v>2272</v>
      </c>
      <c r="F18" s="22">
        <v>4000.0</v>
      </c>
      <c r="G18" s="22">
        <f t="shared" si="7"/>
        <v>1728</v>
      </c>
      <c r="H18" s="22">
        <f t="shared" si="1"/>
        <v>0</v>
      </c>
      <c r="I18" s="22">
        <f t="shared" si="5"/>
        <v>0</v>
      </c>
      <c r="J18" s="22">
        <f t="shared" si="6"/>
        <v>0</v>
      </c>
    </row>
    <row r="19" ht="14.25" customHeight="1">
      <c r="B19" s="20" t="s">
        <v>139</v>
      </c>
      <c r="C19" s="21">
        <v>10.0</v>
      </c>
      <c r="D19" s="21">
        <v>30.0</v>
      </c>
      <c r="E19" s="22">
        <f>'SAMBAL IJO'!F8</f>
        <v>2478.07</v>
      </c>
      <c r="F19" s="22">
        <v>4000.0</v>
      </c>
      <c r="G19" s="22">
        <v>1739.0</v>
      </c>
      <c r="H19" s="22">
        <f t="shared" si="1"/>
        <v>521700</v>
      </c>
      <c r="I19" s="22">
        <f t="shared" si="5"/>
        <v>743421</v>
      </c>
      <c r="J19" s="22">
        <f t="shared" si="6"/>
        <v>1200000</v>
      </c>
    </row>
    <row r="20" ht="14.25" customHeight="1">
      <c r="B20" s="24" t="s">
        <v>200</v>
      </c>
      <c r="C20" s="21">
        <v>1.0</v>
      </c>
      <c r="D20" s="21">
        <v>1.0</v>
      </c>
      <c r="E20" s="22">
        <v>200000.0</v>
      </c>
      <c r="F20" s="22"/>
      <c r="G20" s="22"/>
      <c r="H20" s="22">
        <v>250000.0</v>
      </c>
      <c r="I20" s="22">
        <f t="shared" si="5"/>
        <v>200000</v>
      </c>
      <c r="J20" s="22"/>
    </row>
    <row r="21" ht="14.25" customHeight="1">
      <c r="B21" s="24" t="s">
        <v>201</v>
      </c>
      <c r="C21" s="21">
        <v>1.0</v>
      </c>
      <c r="D21" s="21">
        <v>1.0</v>
      </c>
      <c r="E21" s="22">
        <v>1500000.0</v>
      </c>
      <c r="F21" s="22"/>
      <c r="G21" s="22"/>
      <c r="H21" s="22">
        <v>1500000.0</v>
      </c>
      <c r="I21" s="22"/>
      <c r="J21" s="22"/>
    </row>
    <row r="22" ht="14.25" customHeight="1">
      <c r="B22" s="24" t="s">
        <v>202</v>
      </c>
      <c r="C22" s="21">
        <v>1.0</v>
      </c>
      <c r="D22" s="21">
        <v>1.0</v>
      </c>
      <c r="E22" s="22">
        <v>1500000.0</v>
      </c>
      <c r="F22" s="22"/>
      <c r="G22" s="22"/>
      <c r="H22" s="22">
        <v>1500000.0</v>
      </c>
      <c r="I22" s="22"/>
      <c r="J22" s="22"/>
    </row>
    <row r="23" ht="14.25" customHeight="1">
      <c r="B23" s="24"/>
      <c r="C23" s="24"/>
      <c r="D23" s="24"/>
      <c r="E23" s="22"/>
      <c r="F23" s="22"/>
      <c r="G23" s="22"/>
      <c r="H23" s="22">
        <f>SUM(H4:H19)-H20-H21-H22</f>
        <v>10489074.17</v>
      </c>
      <c r="I23" s="22">
        <f t="shared" ref="I23:J23" si="8">SUM(I4:I19)</f>
        <v>29433442.89</v>
      </c>
      <c r="J23" s="22">
        <f t="shared" si="8"/>
        <v>42840000</v>
      </c>
    </row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2024-08-13T06:34:36Z</dcterms:created>
  <dc:creator>USER1</dc:creator>
</cp:coreProperties>
</file>